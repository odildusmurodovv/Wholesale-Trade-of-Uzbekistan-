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Oylik hajm (Mintaqa)" sheetId="1" state="visible" r:id="rId3"/>
    <sheet name="Yillik hajm" sheetId="2" state="visible" r:id="rId4"/>
    <sheet name="Yillik indeks" sheetId="3" state="visible" r:id="rId5"/>
    <sheet name="Oylik indeks(mintaqa)" sheetId="4" state="visible" r:id="rId6"/>
    <sheet name="Oylik hajm(Respublika)" sheetId="5" state="visible" r:id="rId7"/>
    <sheet name="Oylik indeks(Respublika)" sheetId="6" state="visible" r:id="rId8"/>
    <sheet name="Tahlil(Yillik hajm)" sheetId="7" state="visible" r:id="rId9"/>
  </sheets>
  <definedNames>
    <definedName function="false" hidden="true" localSheetId="0" name="ExternalData_1" vbProcedure="false">'Oylik hajm (Mintaqa)'!$A$1:$CD$16</definedName>
    <definedName function="false" hidden="true" localSheetId="1" name="ExternalData_1" vbProcedure="false">'Yillik hajm'!$A$1:$T$16</definedName>
    <definedName function="false" hidden="true" localSheetId="2" name="ExternalData_1" vbProcedure="false">'Yillik indeks'!$A$1:$T$16</definedName>
    <definedName function="false" hidden="true" localSheetId="3" name="ExternalData_1" vbProcedure="false">'Oylik indeks(mintaqa)'!$A$1:$CD$16</definedName>
    <definedName function="false" hidden="true" localSheetId="4" name="ExternalData_1" vbProcedure="false">'Oylik hajm(Respublika)'!$A$1:$AT$2</definedName>
    <definedName function="false" hidden="true" localSheetId="5" name="ExternalData_1" vbProcedure="false">'Oylik indeks(Respublika)'!$A$1:$AT$2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<sst xmlns="http://schemas.openxmlformats.org/spreadsheetml/2006/main" count="573" uniqueCount="184">
  <si>
    <t xml:space="preserve">Code</t>
  </si>
  <si>
    <t xml:space="preserve">Klassifikator</t>
  </si>
  <si>
    <t xml:space="preserve">Klassifikator_ru</t>
  </si>
  <si>
    <t xml:space="preserve">Klassifikator_en</t>
  </si>
  <si>
    <t xml:space="preserve">Klassifikator_uzc</t>
  </si>
  <si>
    <t xml:space="preserve">2020-M01</t>
  </si>
  <si>
    <t xml:space="preserve">2020-M02</t>
  </si>
  <si>
    <t xml:space="preserve">2020-M03</t>
  </si>
  <si>
    <t xml:space="preserve">2020-M04</t>
  </si>
  <si>
    <t xml:space="preserve">2020-M05</t>
  </si>
  <si>
    <t xml:space="preserve">2020-M06</t>
  </si>
  <si>
    <t xml:space="preserve">2020-M07</t>
  </si>
  <si>
    <t xml:space="preserve">2020-M08</t>
  </si>
  <si>
    <t xml:space="preserve">2020-M09</t>
  </si>
  <si>
    <t xml:space="preserve">2020-M10</t>
  </si>
  <si>
    <t xml:space="preserve">2020-M11</t>
  </si>
  <si>
    <t xml:space="preserve">2020-M12</t>
  </si>
  <si>
    <t xml:space="preserve">2021-M01</t>
  </si>
  <si>
    <t xml:space="preserve">2021-M02</t>
  </si>
  <si>
    <t xml:space="preserve">2021-M03</t>
  </si>
  <si>
    <t xml:space="preserve">2021-M04</t>
  </si>
  <si>
    <t xml:space="preserve">2021-M05</t>
  </si>
  <si>
    <t xml:space="preserve">2021-M06</t>
  </si>
  <si>
    <t xml:space="preserve">2021-M07</t>
  </si>
  <si>
    <t xml:space="preserve">2021-M08</t>
  </si>
  <si>
    <t xml:space="preserve">2021-M09</t>
  </si>
  <si>
    <t xml:space="preserve">2021-M10</t>
  </si>
  <si>
    <t xml:space="preserve">2021-M11</t>
  </si>
  <si>
    <t xml:space="preserve">2021-M12</t>
  </si>
  <si>
    <t xml:space="preserve">2022-M01</t>
  </si>
  <si>
    <t xml:space="preserve">2022-M02</t>
  </si>
  <si>
    <t xml:space="preserve">2022-M03</t>
  </si>
  <si>
    <t xml:space="preserve">2022-M04</t>
  </si>
  <si>
    <t xml:space="preserve">2022-M05</t>
  </si>
  <si>
    <t xml:space="preserve">2022-M06</t>
  </si>
  <si>
    <t xml:space="preserve">2022-M07</t>
  </si>
  <si>
    <t xml:space="preserve">2022-M08</t>
  </si>
  <si>
    <t xml:space="preserve">2022-M09</t>
  </si>
  <si>
    <t xml:space="preserve">2022-M10</t>
  </si>
  <si>
    <t xml:space="preserve">2022-M11</t>
  </si>
  <si>
    <t xml:space="preserve">2022-M12</t>
  </si>
  <si>
    <t xml:space="preserve">2023-M01</t>
  </si>
  <si>
    <t xml:space="preserve">2023-M02</t>
  </si>
  <si>
    <t xml:space="preserve">2023-M03</t>
  </si>
  <si>
    <t xml:space="preserve">2023-M04</t>
  </si>
  <si>
    <t xml:space="preserve">2023-M05</t>
  </si>
  <si>
    <t xml:space="preserve">2023-M06</t>
  </si>
  <si>
    <t xml:space="preserve">2023-M07</t>
  </si>
  <si>
    <t xml:space="preserve">2023-M08</t>
  </si>
  <si>
    <t xml:space="preserve">2023-M09</t>
  </si>
  <si>
    <t xml:space="preserve">2023-M10</t>
  </si>
  <si>
    <t xml:space="preserve">2023-M11</t>
  </si>
  <si>
    <t xml:space="preserve">2023-M12</t>
  </si>
  <si>
    <t xml:space="preserve">2024-M01</t>
  </si>
  <si>
    <t xml:space="preserve">2024-M02</t>
  </si>
  <si>
    <t xml:space="preserve">2024-M03</t>
  </si>
  <si>
    <t xml:space="preserve">2024-M04</t>
  </si>
  <si>
    <t xml:space="preserve">2024-M05</t>
  </si>
  <si>
    <t xml:space="preserve">2024-M06</t>
  </si>
  <si>
    <t xml:space="preserve">2024-M07</t>
  </si>
  <si>
    <t xml:space="preserve">2024-M08</t>
  </si>
  <si>
    <t xml:space="preserve">2024-M09</t>
  </si>
  <si>
    <t xml:space="preserve">2024-M10</t>
  </si>
  <si>
    <t xml:space="preserve">2024-M11</t>
  </si>
  <si>
    <t xml:space="preserve">2024-M12</t>
  </si>
  <si>
    <t xml:space="preserve">2025-M01</t>
  </si>
  <si>
    <t xml:space="preserve">2025-M02</t>
  </si>
  <si>
    <t xml:space="preserve">2025-M03</t>
  </si>
  <si>
    <t xml:space="preserve">2025-M04</t>
  </si>
  <si>
    <t xml:space="preserve">2025-M05</t>
  </si>
  <si>
    <t xml:space="preserve">2025-M06</t>
  </si>
  <si>
    <t xml:space="preserve">2025-M07</t>
  </si>
  <si>
    <t xml:space="preserve">2025-M08</t>
  </si>
  <si>
    <t xml:space="preserve">2025-M09</t>
  </si>
  <si>
    <t xml:space="preserve">2025-M10</t>
  </si>
  <si>
    <t xml:space="preserve">2025-M11</t>
  </si>
  <si>
    <t xml:space="preserve">2025-M12</t>
  </si>
  <si>
    <t xml:space="preserve">2026-M01</t>
  </si>
  <si>
    <t xml:space="preserve">2026-M02</t>
  </si>
  <si>
    <t xml:space="preserve">2026-M03</t>
  </si>
  <si>
    <t xml:space="preserve">2026-M04</t>
  </si>
  <si>
    <t xml:space="preserve">2026-M05</t>
  </si>
  <si>
    <t xml:space="preserve">O‘zbekiston Respublikasi</t>
  </si>
  <si>
    <t xml:space="preserve">Республика Узбекистан</t>
  </si>
  <si>
    <t xml:space="preserve">Republic of Uzbekistan</t>
  </si>
  <si>
    <t xml:space="preserve">Ўзбекистон Республикаси</t>
  </si>
  <si>
    <t xml:space="preserve">Qoraqalpog‘iston Respublikasi</t>
  </si>
  <si>
    <t xml:space="preserve">Республика Каракалпакстан</t>
  </si>
  <si>
    <t xml:space="preserve">Republic of Karakalpakstan</t>
  </si>
  <si>
    <t xml:space="preserve">Қорақалпоғистон Республикаси</t>
  </si>
  <si>
    <t xml:space="preserve">Andijon viloyati</t>
  </si>
  <si>
    <t xml:space="preserve">Андижанская область</t>
  </si>
  <si>
    <t xml:space="preserve">Andijan region</t>
  </si>
  <si>
    <t xml:space="preserve">Aндижон вилояти</t>
  </si>
  <si>
    <t xml:space="preserve">Buxoro viloyati</t>
  </si>
  <si>
    <t xml:space="preserve">Бухарская область</t>
  </si>
  <si>
    <t xml:space="preserve">Bukhara region</t>
  </si>
  <si>
    <t xml:space="preserve">Бухоро вилояти</t>
  </si>
  <si>
    <t xml:space="preserve">Jizzax viloyati</t>
  </si>
  <si>
    <t xml:space="preserve">Джизакская область</t>
  </si>
  <si>
    <t xml:space="preserve">Jizzakh region</t>
  </si>
  <si>
    <t xml:space="preserve">Жиззах вилояти</t>
  </si>
  <si>
    <t xml:space="preserve">Qashqadaryo viloyati</t>
  </si>
  <si>
    <t xml:space="preserve">Кашкадарьинская область</t>
  </si>
  <si>
    <t xml:space="preserve">Kashkadarya region</t>
  </si>
  <si>
    <t xml:space="preserve">Қашқадарё вилояти</t>
  </si>
  <si>
    <t xml:space="preserve">Navoiy viloyati</t>
  </si>
  <si>
    <t xml:space="preserve">Навоийская область</t>
  </si>
  <si>
    <t xml:space="preserve">Navoi region</t>
  </si>
  <si>
    <t xml:space="preserve">Навоий вилояти</t>
  </si>
  <si>
    <t xml:space="preserve">Namangan viloyati</t>
  </si>
  <si>
    <t xml:space="preserve">Наманганская область</t>
  </si>
  <si>
    <t xml:space="preserve">Namangan region</t>
  </si>
  <si>
    <t xml:space="preserve">Наманган вилояти</t>
  </si>
  <si>
    <t xml:space="preserve">Samarqand viloyati</t>
  </si>
  <si>
    <t xml:space="preserve">Самаркандская область</t>
  </si>
  <si>
    <t xml:space="preserve">Samarkand region</t>
  </si>
  <si>
    <t xml:space="preserve">Самарқанд вилояти</t>
  </si>
  <si>
    <t xml:space="preserve">Surxondaryo viloyati</t>
  </si>
  <si>
    <t xml:space="preserve">Сурхандарьинская область</t>
  </si>
  <si>
    <t xml:space="preserve">Surkhandarya region</t>
  </si>
  <si>
    <t xml:space="preserve">Сурхондарё вилояти</t>
  </si>
  <si>
    <t xml:space="preserve">Sirdaryo viloyati</t>
  </si>
  <si>
    <t xml:space="preserve">Сырдарьинская область</t>
  </si>
  <si>
    <t xml:space="preserve">Syrdarya region</t>
  </si>
  <si>
    <t xml:space="preserve">Сирдарё вилояти</t>
  </si>
  <si>
    <t xml:space="preserve">Toshkent viloyati</t>
  </si>
  <si>
    <t xml:space="preserve">Ташкентская область</t>
  </si>
  <si>
    <t xml:space="preserve">Tashkent region</t>
  </si>
  <si>
    <t xml:space="preserve">Тошкент вилояти</t>
  </si>
  <si>
    <t xml:space="preserve">Farg‘ona  viloyati</t>
  </si>
  <si>
    <t xml:space="preserve">Ферганская область</t>
  </si>
  <si>
    <t xml:space="preserve">Fergana region</t>
  </si>
  <si>
    <t xml:space="preserve">Фарғона вилояти</t>
  </si>
  <si>
    <t xml:space="preserve">Xorazm viloyati</t>
  </si>
  <si>
    <t xml:space="preserve">Хорезмская область</t>
  </si>
  <si>
    <t xml:space="preserve">Khorezm region</t>
  </si>
  <si>
    <t xml:space="preserve">Хоразм вилояти</t>
  </si>
  <si>
    <t xml:space="preserve">Toshkent shahri</t>
  </si>
  <si>
    <t xml:space="preserve">город Ташкент</t>
  </si>
  <si>
    <t xml:space="preserve">Tashkent city</t>
  </si>
  <si>
    <t xml:space="preserve">Тошкент шаҳри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</si>
  <si>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</si>
  <si>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</si>
  <si>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</si>
  <si>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</si>
  <si>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</si>
  <si>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</si>
  <si>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</si>
  <si>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</si>
  <si>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</si>
  <si>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</si>
  <si>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</si>
  <si>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</si>
  <si>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</si>
  <si>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</si>
  <si>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</si>
  <si>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Ulgurchi savdo - tahlil</t>
  </si>
  <si>
    <t xml:space="preserve">Year</t>
  </si>
  <si>
    <t xml:space="preserve">Nominal Volume</t>
  </si>
  <si>
    <t xml:space="preserve">Nominal o'sish  %</t>
  </si>
  <si>
    <t xml:space="preserve">Real o'sish  %</t>
  </si>
  <si>
    <t xml:space="preserve">2024-yil mintaqalar reytingi</t>
  </si>
  <si>
    <t xml:space="preserve">Eng tez o'sgan mintaqalar (2024, real o'sish)</t>
  </si>
  <si>
    <t xml:space="preserve">Asosiy ko'rsatkichlar</t>
  </si>
  <si>
    <t xml:space="preserve">Mintaqa</t>
  </si>
  <si>
    <t xml:space="preserve">Hajm(mln so'm)</t>
  </si>
  <si>
    <t xml:space="preserve">Ulush %</t>
  </si>
  <si>
    <t xml:space="preserve">Real o'sish %</t>
  </si>
  <si>
    <t xml:space="preserve">T/r</t>
  </si>
  <si>
    <t xml:space="preserve">2024 yil jami hajm (mln so'm)</t>
  </si>
  <si>
    <t xml:space="preserve">Nominal o'sish 2024 (YoY, %)</t>
  </si>
  <si>
    <t xml:space="preserve">Real o'sish 2024 (YoY, %)</t>
  </si>
  <si>
    <t xml:space="preserve">CAGR 2010–2024 (nominal, %)</t>
  </si>
  <si>
    <t xml:space="preserve">Toshkent shahri ulushi (%)</t>
  </si>
  <si>
    <t xml:space="preserve">2026 yil yanvar–may: real o'sish indeksi (Respublika, YTD)</t>
  </si>
  <si>
    <t xml:space="preserve">Oy</t>
  </si>
  <si>
    <t xml:space="preserve">2025</t>
  </si>
  <si>
    <t xml:space="preserve">2026</t>
  </si>
  <si>
    <t xml:space="preserve">Yanvar</t>
  </si>
  <si>
    <t xml:space="preserve">Fevral</t>
  </si>
  <si>
    <t xml:space="preserve">Mart</t>
  </si>
  <si>
    <t xml:space="preserve">Aprel</t>
  </si>
  <si>
    <t xml:space="preserve">May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</si>
</sst>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"/>
  </numFmts>
  <fonts count="11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0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K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Nominal va Real O'sish, 2010-2024 (%)</a:t>
            </a:r>
          </a:p>
        </c:rich>
      </c:tx>
      <c:layout>
        <c:manualLayout>
          <c:xMode val="edge"/>
          <c:yMode val="edge"/>
          <c:x val="0.345840220385675"/>
          <c:y val="0.034338642268157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5674931129477"/>
          <c:y val="0.168982265898565"/>
          <c:w val="0.895234159779614"/>
          <c:h val="0.671297865130464"/>
        </c:manualLayout>
      </c:layout>
      <c:lineChart>
        <c:grouping val="standard"/>
        <c:varyColors val="0"/>
        <c:ser>
          <c:idx val="0"/>
          <c:order val="0"/>
          <c:tx>
            <c:strRef>
              <c:f>'Tahlil(Yillik hajm)'!$C$3</c:f>
              <c:strCache>
                <c:ptCount val="1"/>
                <c:pt idx="0">
                  <c:v>Nominal o'sish  %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'Tahlil(Yillik hajm)'!$A$4:$A$18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'Tahlil(Yillik hajm)'!$C$4:$C$18</c:f>
              <c:numCache>
                <c:formatCode>0.0</c:formatCode>
                <c:ptCount val="15"/>
                <c:pt idx="1">
                  <c:v>31.4469895788213</c:v>
                </c:pt>
                <c:pt idx="2">
                  <c:v>16.4253361504714</c:v>
                </c:pt>
                <c:pt idx="3">
                  <c:v>22.1040091460031</c:v>
                </c:pt>
                <c:pt idx="4">
                  <c:v>15.9576334480537</c:v>
                </c:pt>
                <c:pt idx="5">
                  <c:v>14.2814697203904</c:v>
                </c:pt>
                <c:pt idx="6">
                  <c:v>21.4028604322431</c:v>
                </c:pt>
                <c:pt idx="7">
                  <c:v>9.61460496882245</c:v>
                </c:pt>
                <c:pt idx="8">
                  <c:v>48.1506034176579</c:v>
                </c:pt>
                <c:pt idx="9">
                  <c:v>50.5485272118221</c:v>
                </c:pt>
                <c:pt idx="10">
                  <c:v>48.7685514114895</c:v>
                </c:pt>
                <c:pt idx="11">
                  <c:v>42.2322611181315</c:v>
                </c:pt>
                <c:pt idx="12">
                  <c:v>41.1396559600745</c:v>
                </c:pt>
                <c:pt idx="13">
                  <c:v>49.1974438812124</c:v>
                </c:pt>
                <c:pt idx="14">
                  <c:v>18.4213801253469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'Tahlil(Yillik hajm)'!$D$3</c:f>
              <c:strCache>
                <c:ptCount val="1"/>
                <c:pt idx="0">
                  <c:v>Real o'sish  %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'Tahlil(Yillik hajm)'!$A$4:$A$18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'Tahlil(Yillik hajm)'!$D$4:$D$18</c:f>
              <c:numCache>
                <c:formatCode>0.0</c:formatCode>
                <c:ptCount val="15"/>
                <c:pt idx="0">
                  <c:v>25.6</c:v>
                </c:pt>
                <c:pt idx="1">
                  <c:v>14.6</c:v>
                </c:pt>
                <c:pt idx="2">
                  <c:v>15.4</c:v>
                </c:pt>
                <c:pt idx="3">
                  <c:v>9.09999999999999</c:v>
                </c:pt>
                <c:pt idx="4">
                  <c:v>10.1</c:v>
                </c:pt>
                <c:pt idx="5">
                  <c:v>7.40000000000001</c:v>
                </c:pt>
                <c:pt idx="6">
                  <c:v>12.3</c:v>
                </c:pt>
                <c:pt idx="7">
                  <c:v>-6</c:v>
                </c:pt>
                <c:pt idx="8">
                  <c:v>24.7</c:v>
                </c:pt>
                <c:pt idx="9">
                  <c:v>31.7</c:v>
                </c:pt>
                <c:pt idx="10">
                  <c:v>30.9</c:v>
                </c:pt>
                <c:pt idx="11">
                  <c:v>27.4</c:v>
                </c:pt>
                <c:pt idx="12">
                  <c:v>25.1</c:v>
                </c:pt>
                <c:pt idx="13">
                  <c:v>15.6</c:v>
                </c:pt>
                <c:pt idx="14">
                  <c:v>11.8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92718"/>
        <c:axId val="6050952"/>
      </c:lineChart>
      <c:catAx>
        <c:axId val="628927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Yil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050952"/>
        <c:crosses val="autoZero"/>
        <c:auto val="1"/>
        <c:lblAlgn val="ctr"/>
        <c:lblOffset val="100"/>
        <c:noMultiLvlLbl val="0"/>
      </c:catAx>
      <c:valAx>
        <c:axId val="605095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28927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Yanvar–may o'sish indeksi: 2025 vs 2026 (YTD,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'Tahlil(Yillik hajm)'!$B$40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'Tahlil(Yillik hajm)'!$A$41:$A$45</c:f>
              <c:strCache>
                <c:ptCount val="5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  <c:pt idx="4">
                  <c:v>May</c:v>
                </c:pt>
              </c:strCache>
            </c:strRef>
          </c:cat>
          <c:val>
            <c:numRef>
              <c:f>'Tahlil(Yillik hajm)'!$B$41:$B$45</c:f>
              <c:numCache>
                <c:formatCode>0.0</c:formatCode>
                <c:ptCount val="5"/>
                <c:pt idx="0">
                  <c:v>110.6</c:v>
                </c:pt>
                <c:pt idx="1">
                  <c:v>112.3</c:v>
                </c:pt>
                <c:pt idx="2">
                  <c:v>110.7</c:v>
                </c:pt>
                <c:pt idx="3">
                  <c:v>110.1</c:v>
                </c:pt>
                <c:pt idx="4">
                  <c:v>109.8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'Tahlil(Yillik hajm)'!$C$40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'Tahlil(Yillik hajm)'!$A$41:$A$45</c:f>
              <c:strCache>
                <c:ptCount val="5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  <c:pt idx="4">
                  <c:v>May</c:v>
                </c:pt>
              </c:strCache>
            </c:strRef>
          </c:cat>
          <c:val>
            <c:numRef>
              <c:f>'Tahlil(Yillik hajm)'!$C$41:$C$45</c:f>
              <c:numCache>
                <c:formatCode>0.0</c:formatCode>
                <c:ptCount val="5"/>
                <c:pt idx="0">
                  <c:v>115.6</c:v>
                </c:pt>
                <c:pt idx="1">
                  <c:v>116.5</c:v>
                </c:pt>
                <c:pt idx="2">
                  <c:v>110.9</c:v>
                </c:pt>
                <c:pt idx="3">
                  <c:v>112.7</c:v>
                </c:pt>
                <c:pt idx="4">
                  <c:v>115.4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195298"/>
        <c:axId val="8507080"/>
      </c:lineChart>
      <c:catAx>
        <c:axId val="101952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8507080"/>
        <c:crosses val="autoZero"/>
        <c:auto val="1"/>
        <c:lblAlgn val="ctr"/>
        <c:lblOffset val="100"/>
        <c:noMultiLvlLbl val="0"/>
      </c:catAx>
      <c:valAx>
        <c:axId val="850708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Indeks (o'tgan yil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101952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177840</xdr:colOff>
      <xdr:row>1</xdr:row>
      <xdr:rowOff>190440</xdr:rowOff>
    </xdr:from>
    <xdr:to>
      <xdr:col>12</xdr:col>
      <xdr:colOff>468720</xdr:colOff>
      <xdr:row>17</xdr:row>
      <xdr:rowOff>176760</xdr:rowOff>
    </xdr:to>
    <xdr:graphicFrame>
      <xdr:nvGraphicFramePr>
        <xdr:cNvPr id="1" name="Chart 1"/>
        <xdr:cNvGraphicFramePr/>
      </xdr:nvGraphicFramePr>
      <xdr:xfrm>
        <a:off x="8061480" y="390600"/>
        <a:ext cx="13067640" cy="318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1231920</xdr:colOff>
      <xdr:row>38</xdr:row>
      <xdr:rowOff>0</xdr:rowOff>
    </xdr:from>
    <xdr:to>
      <xdr:col>13</xdr:col>
      <xdr:colOff>189720</xdr:colOff>
      <xdr:row>52</xdr:row>
      <xdr:rowOff>78480</xdr:rowOff>
    </xdr:to>
    <xdr:graphicFrame>
      <xdr:nvGraphicFramePr>
        <xdr:cNvPr id="2" name="Chart 2"/>
        <xdr:cNvGraphicFramePr/>
      </xdr:nvGraphicFramePr>
      <xdr:xfrm>
        <a:off x="10719000" y="7601040"/>
        <a:ext cx="1115136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dmx_data_1494__2" displayName="sdmx_data_1494__2" ref="A1:T16" headerRowCount="1" totalsRowCount="0" totalsRowShown="0">
  <autoFilter ref="A1:T16"/>
  <tableColumns count="20">
    <tableColumn id="1" name="Code"/>
    <tableColumn id="2" name="Klassifikator"/>
    <tableColumn id="3" name="Klassifikator_ru"/>
    <tableColumn id="4" name="Klassifikator_en"/>
    <tableColumn id="5" name="Klassifikator_uzc"/>
    <tableColumn id="6" name="2010"/>
    <tableColumn id="7" name="2011"/>
    <tableColumn id="8" name="2012"/>
    <tableColumn id="9" name="2013"/>
    <tableColumn id="10" name="2014"/>
    <tableColumn id="11" name="2015"/>
    <tableColumn id="12" name="2016"/>
    <tableColumn id="13" name="2017"/>
    <tableColumn id="14" name="2018"/>
    <tableColumn id="15" name="2019"/>
    <tableColumn id="16" name="2020"/>
    <tableColumn id="17" name="2021"/>
    <tableColumn id="18" name="2022"/>
    <tableColumn id="19" name="2023"/>
    <tableColumn id="20" name="2024"/>
  </tableColumns>
</table>
</file>

<file path=xl/tables/table2.xml><?xml version="1.0" encoding="utf-8"?>
<table xmlns="http://schemas.openxmlformats.org/spreadsheetml/2006/main" id="2" name="sdmx_data_2695" displayName="sdmx_data_2695" ref="A1:T16" headerRowCount="1" totalsRowCount="0" totalsRowShown="0">
  <autoFilter ref="A1:T16"/>
  <tableColumns count="20">
    <tableColumn id="1" name="Code"/>
    <tableColumn id="2" name="Klassifikator"/>
    <tableColumn id="3" name="Klassifikator_ru"/>
    <tableColumn id="4" name="Klassifikator_en"/>
    <tableColumn id="5" name="Klassifikator_uzc"/>
    <tableColumn id="6" name="2010"/>
    <tableColumn id="7" name="2011"/>
    <tableColumn id="8" name="2012"/>
    <tableColumn id="9" name="2013"/>
    <tableColumn id="10" name="2014"/>
    <tableColumn id="11" name="2015"/>
    <tableColumn id="12" name="2016"/>
    <tableColumn id="13" name="2017"/>
    <tableColumn id="14" name="2018"/>
    <tableColumn id="15" name="2019"/>
    <tableColumn id="16" name="2020"/>
    <tableColumn id="17" name="2021"/>
    <tableColumn id="18" name="2022"/>
    <tableColumn id="19" name="2023"/>
    <tableColumn id="20" name="2024"/>
  </tableColumns>
</table>
</file>

<file path=xl/tables/table3.xml><?xml version="1.0" encoding="utf-8"?>
<table xmlns="http://schemas.openxmlformats.org/spreadsheetml/2006/main" id="3" name="sdmx_data_2696" displayName="sdmx_data_2696" ref="A1:CD16" headerRowCount="1" totalsRowCount="0" totalsRowShown="0">
  <autoFilter ref="A1:CD16"/>
  <tableColumns count="82">
    <tableColumn id="1" name="Code"/>
    <tableColumn id="2" name="Klassifikator"/>
    <tableColumn id="3" name="Klassifikator_ru"/>
    <tableColumn id="4" name="Klassifikator_en"/>
    <tableColumn id="5" name="Klassifikator_uzc"/>
    <tableColumn id="6" name="2020-M01"/>
    <tableColumn id="7" name="2020-M02"/>
    <tableColumn id="8" name="2020-M03"/>
    <tableColumn id="9" name="2020-M04"/>
    <tableColumn id="10" name="2020-M05"/>
    <tableColumn id="11" name="2020-M06"/>
    <tableColumn id="12" name="2020-M07"/>
    <tableColumn id="13" name="2020-M08"/>
    <tableColumn id="14" name="2020-M09"/>
    <tableColumn id="15" name="2020-M10"/>
    <tableColumn id="16" name="2020-M11"/>
    <tableColumn id="17" name="2020-M12"/>
    <tableColumn id="18" name="2021-M01"/>
    <tableColumn id="19" name="2021-M02"/>
    <tableColumn id="20" name="2021-M03"/>
    <tableColumn id="21" name="2021-M04"/>
    <tableColumn id="22" name="2021-M05"/>
    <tableColumn id="23" name="2021-M06"/>
    <tableColumn id="24" name="2021-M07"/>
    <tableColumn id="25" name="2021-M08"/>
    <tableColumn id="26" name="2021-M09"/>
    <tableColumn id="27" name="2021-M10"/>
    <tableColumn id="28" name="2021-M11"/>
    <tableColumn id="29" name="2021-M12"/>
    <tableColumn id="30" name="2022-M01"/>
    <tableColumn id="31" name="2022-M02"/>
    <tableColumn id="32" name="2022-M03"/>
    <tableColumn id="33" name="2022-M04"/>
    <tableColumn id="34" name="2022-M05"/>
    <tableColumn id="35" name="2022-M06"/>
    <tableColumn id="36" name="2022-M07"/>
    <tableColumn id="37" name="2022-M08"/>
    <tableColumn id="38" name="2022-M09"/>
    <tableColumn id="39" name="2022-M10"/>
    <tableColumn id="40" name="2022-M11"/>
    <tableColumn id="41" name="2022-M12"/>
    <tableColumn id="42" name="2023-M01"/>
    <tableColumn id="43" name="2023-M02"/>
    <tableColumn id="44" name="2023-M03"/>
    <tableColumn id="45" name="2023-M04"/>
    <tableColumn id="46" name="2023-M05"/>
    <tableColumn id="47" name="2023-M06"/>
    <tableColumn id="48" name="2023-M07"/>
    <tableColumn id="49" name="2023-M08"/>
    <tableColumn id="50" name="2023-M09"/>
    <tableColumn id="51" name="2023-M10"/>
    <tableColumn id="52" name="2023-M11"/>
    <tableColumn id="53" name="2023-M12"/>
    <tableColumn id="54" name="2024-M01"/>
    <tableColumn id="55" name="2024-M02"/>
    <tableColumn id="56" name="2024-M03"/>
    <tableColumn id="57" name="2024-M04"/>
    <tableColumn id="58" name="2024-M05"/>
    <tableColumn id="59" name="2024-M06"/>
    <tableColumn id="60" name="2024-M07"/>
    <tableColumn id="61" name="2024-M08"/>
    <tableColumn id="62" name="2024-M09"/>
    <tableColumn id="63" name="2024-M10"/>
    <tableColumn id="64" name="2024-M11"/>
    <tableColumn id="65" name="2024-M12"/>
    <tableColumn id="66" name="2025-M01"/>
    <tableColumn id="67" name="2025-M02"/>
    <tableColumn id="68" name="2025-M03"/>
    <tableColumn id="69" name="2025-M04"/>
    <tableColumn id="70" name="2025-M05"/>
    <tableColumn id="71" name="2025-M06"/>
    <tableColumn id="72" name="2025-M07"/>
    <tableColumn id="73" name="2025-M08"/>
    <tableColumn id="74" name="2025-M09"/>
    <tableColumn id="75" name="2025-M10"/>
    <tableColumn id="76" name="2025-M11"/>
    <tableColumn id="77" name="2025-M12"/>
    <tableColumn id="78" name="2026-M01"/>
    <tableColumn id="79" name="2026-M02"/>
    <tableColumn id="80" name="2026-M03"/>
    <tableColumn id="81" name="2026-M04"/>
    <tableColumn id="82" name="2026-M05"/>
  </tableColumns>
</table>
</file>

<file path=xl/tables/table4.xml><?xml version="1.0" encoding="utf-8"?>
<table xmlns="http://schemas.openxmlformats.org/spreadsheetml/2006/main" id="4" name="sdmx_data_3075" displayName="sdmx_data_3075" ref="A1:AT2" headerRowCount="1" totalsRowCount="0" totalsRowShown="0">
  <autoFilter ref="A1:AT2"/>
  <tableColumns count="46">
    <tableColumn id="1" name="Code"/>
    <tableColumn id="2" name="Klassifikator"/>
    <tableColumn id="3" name="Klassifikator_ru"/>
    <tableColumn id="4" name="Klassifikator_en"/>
    <tableColumn id="5" name="Klassifikator_uzc"/>
    <tableColumn id="6" name="2023-M01"/>
    <tableColumn id="7" name="2023-M02"/>
    <tableColumn id="8" name="2023-M03"/>
    <tableColumn id="9" name="2023-M04"/>
    <tableColumn id="10" name="2023-M05"/>
    <tableColumn id="11" name="2023-M06"/>
    <tableColumn id="12" name="2023-M07"/>
    <tableColumn id="13" name="2023-M08"/>
    <tableColumn id="14" name="2023-M09"/>
    <tableColumn id="15" name="2023-M10"/>
    <tableColumn id="16" name="2023-M11"/>
    <tableColumn id="17" name="2023-M12"/>
    <tableColumn id="18" name="2024-M01"/>
    <tableColumn id="19" name="2024-M02"/>
    <tableColumn id="20" name="2024-M03"/>
    <tableColumn id="21" name="2024-M04"/>
    <tableColumn id="22" name="2024-M05"/>
    <tableColumn id="23" name="2024-M06"/>
    <tableColumn id="24" name="2024-M07"/>
    <tableColumn id="25" name="2024-M08"/>
    <tableColumn id="26" name="2024-M09"/>
    <tableColumn id="27" name="2024-M10"/>
    <tableColumn id="28" name="2024-M11"/>
    <tableColumn id="29" name="2024-M12"/>
    <tableColumn id="30" name="2025-M01"/>
    <tableColumn id="31" name="2025-M02"/>
    <tableColumn id="32" name="2025-M03"/>
    <tableColumn id="33" name="2025-M04"/>
    <tableColumn id="34" name="2025-M05"/>
    <tableColumn id="35" name="2025-M06"/>
    <tableColumn id="36" name="2025-M07"/>
    <tableColumn id="37" name="2025-M08"/>
    <tableColumn id="38" name="2025-M09"/>
    <tableColumn id="39" name="2025-M10"/>
    <tableColumn id="40" name="2025-M11"/>
    <tableColumn id="41" name="2025-M12"/>
    <tableColumn id="42" name="2026-M01"/>
    <tableColumn id="43" name="2026-M02"/>
    <tableColumn id="44" name="2026-M03"/>
    <tableColumn id="45" name="2026-M04"/>
    <tableColumn id="46" name="2026-M05"/>
  </tableColumns>
</table>
</file>

<file path=xl/tables/table5.xml><?xml version="1.0" encoding="utf-8"?>
<table xmlns="http://schemas.openxmlformats.org/spreadsheetml/2006/main" id="5" name="sdmx_data_3076" displayName="sdmx_data_3076" ref="A1:AT2" headerRowCount="1" totalsRowCount="0" totalsRowShown="0">
  <autoFilter ref="A1:AT2"/>
  <tableColumns count="46">
    <tableColumn id="1" name="Code"/>
    <tableColumn id="2" name="Klassifikator"/>
    <tableColumn id="3" name="Klassifikator_ru"/>
    <tableColumn id="4" name="Klassifikator_en"/>
    <tableColumn id="5" name="Klassifikator_uzc"/>
    <tableColumn id="6" name="2023-M01"/>
    <tableColumn id="7" name="2023-M02"/>
    <tableColumn id="8" name="2023-M03"/>
    <tableColumn id="9" name="2023-M04"/>
    <tableColumn id="10" name="2023-M05"/>
    <tableColumn id="11" name="2023-M06"/>
    <tableColumn id="12" name="2023-M07"/>
    <tableColumn id="13" name="2023-M08"/>
    <tableColumn id="14" name="2023-M09"/>
    <tableColumn id="15" name="2023-M10"/>
    <tableColumn id="16" name="2023-M11"/>
    <tableColumn id="17" name="2023-M12"/>
    <tableColumn id="18" name="2024-M01"/>
    <tableColumn id="19" name="2024-M02"/>
    <tableColumn id="20" name="2024-M03"/>
    <tableColumn id="21" name="2024-M04"/>
    <tableColumn id="22" name="2024-M05"/>
    <tableColumn id="23" name="2024-M06"/>
    <tableColumn id="24" name="2024-M07"/>
    <tableColumn id="25" name="2024-M08"/>
    <tableColumn id="26" name="2024-M09"/>
    <tableColumn id="27" name="2024-M10"/>
    <tableColumn id="28" name="2024-M11"/>
    <tableColumn id="29" name="2024-M12"/>
    <tableColumn id="30" name="2025-M01"/>
    <tableColumn id="31" name="2025-M02"/>
    <tableColumn id="32" name="2025-M03"/>
    <tableColumn id="33" name="2025-M04"/>
    <tableColumn id="34" name="2025-M05"/>
    <tableColumn id="35" name="2025-M06"/>
    <tableColumn id="36" name="2025-M07"/>
    <tableColumn id="37" name="2025-M08"/>
    <tableColumn id="38" name="2025-M09"/>
    <tableColumn id="39" name="2025-M10"/>
    <tableColumn id="40" name="2025-M11"/>
    <tableColumn id="41" name="2025-M12"/>
    <tableColumn id="42" name="2026-M01"/>
    <tableColumn id="43" name="2026-M02"/>
    <tableColumn id="44" name="2026-M03"/>
    <tableColumn id="45" name="2026-M04"/>
    <tableColumn id="46" name="2026-M05"/>
  </tableColumns>
</table>
</file>

<file path=xl/tables/table6.xml><?xml version="1.0" encoding="utf-8"?>
<table xmlns="http://schemas.openxmlformats.org/spreadsheetml/2006/main" id="6" name="sdmx_data_964" displayName="sdmx_data_964" ref="A1:CD16" headerRowCount="1" totalsRowCount="0" totalsRowShown="0">
  <autoFilter ref="A1:CD16"/>
  <tableColumns count="82">
    <tableColumn id="1" name="Code"/>
    <tableColumn id="2" name="Klassifikator"/>
    <tableColumn id="3" name="Klassifikator_ru"/>
    <tableColumn id="4" name="Klassifikator_en"/>
    <tableColumn id="5" name="Klassifikator_uzc"/>
    <tableColumn id="6" name="2020-M01"/>
    <tableColumn id="7" name="2020-M02"/>
    <tableColumn id="8" name="2020-M03"/>
    <tableColumn id="9" name="2020-M04"/>
    <tableColumn id="10" name="2020-M05"/>
    <tableColumn id="11" name="2020-M06"/>
    <tableColumn id="12" name="2020-M07"/>
    <tableColumn id="13" name="2020-M08"/>
    <tableColumn id="14" name="2020-M09"/>
    <tableColumn id="15" name="2020-M10"/>
    <tableColumn id="16" name="2020-M11"/>
    <tableColumn id="17" name="2020-M12"/>
    <tableColumn id="18" name="2021-M01"/>
    <tableColumn id="19" name="2021-M02"/>
    <tableColumn id="20" name="2021-M03"/>
    <tableColumn id="21" name="2021-M04"/>
    <tableColumn id="22" name="2021-M05"/>
    <tableColumn id="23" name="2021-M06"/>
    <tableColumn id="24" name="2021-M07"/>
    <tableColumn id="25" name="2021-M08"/>
    <tableColumn id="26" name="2021-M09"/>
    <tableColumn id="27" name="2021-M10"/>
    <tableColumn id="28" name="2021-M11"/>
    <tableColumn id="29" name="2021-M12"/>
    <tableColumn id="30" name="2022-M01"/>
    <tableColumn id="31" name="2022-M02"/>
    <tableColumn id="32" name="2022-M03"/>
    <tableColumn id="33" name="2022-M04"/>
    <tableColumn id="34" name="2022-M05"/>
    <tableColumn id="35" name="2022-M06"/>
    <tableColumn id="36" name="2022-M07"/>
    <tableColumn id="37" name="2022-M08"/>
    <tableColumn id="38" name="2022-M09"/>
    <tableColumn id="39" name="2022-M10"/>
    <tableColumn id="40" name="2022-M11"/>
    <tableColumn id="41" name="2022-M12"/>
    <tableColumn id="42" name="2023-M01"/>
    <tableColumn id="43" name="2023-M02"/>
    <tableColumn id="44" name="2023-M03"/>
    <tableColumn id="45" name="2023-M04"/>
    <tableColumn id="46" name="2023-M05"/>
    <tableColumn id="47" name="2023-M06"/>
    <tableColumn id="48" name="2023-M07"/>
    <tableColumn id="49" name="2023-M08"/>
    <tableColumn id="50" name="2023-M09"/>
    <tableColumn id="51" name="2023-M10"/>
    <tableColumn id="52" name="2023-M11"/>
    <tableColumn id="53" name="2023-M12"/>
    <tableColumn id="54" name="2024-M01"/>
    <tableColumn id="55" name="2024-M02"/>
    <tableColumn id="56" name="2024-M03"/>
    <tableColumn id="57" name="2024-M04"/>
    <tableColumn id="58" name="2024-M05"/>
    <tableColumn id="59" name="2024-M06"/>
    <tableColumn id="60" name="2024-M07"/>
    <tableColumn id="61" name="2024-M08"/>
    <tableColumn id="62" name="2024-M09"/>
    <tableColumn id="63" name="2024-M10"/>
    <tableColumn id="64" name="2024-M11"/>
    <tableColumn id="65" name="2024-M12"/>
    <tableColumn id="66" name="2025-M01"/>
    <tableColumn id="67" name="2025-M02"/>
    <tableColumn id="68" name="2025-M03"/>
    <tableColumn id="69" name="2025-M04"/>
    <tableColumn id="70" name="2025-M05"/>
    <tableColumn id="71" name="2025-M06"/>
    <tableColumn id="72" name="2025-M07"/>
    <tableColumn id="73" name="2025-M08"/>
    <tableColumn id="74" name="2025-M09"/>
    <tableColumn id="75" name="2025-M10"/>
    <tableColumn id="76" name="2025-M11"/>
    <tableColumn id="77" name="2025-M12"/>
    <tableColumn id="78" name="2026-M01"/>
    <tableColumn id="79" name="2026-M02"/>
    <tableColumn id="80" name="2026-M03"/>
    <tableColumn id="81" name="2026-M04"/>
    <tableColumn id="82" name="2026-M0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BS36" activeCellId="0" sqref="BS36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.83"/>
    <col collapsed="false" customWidth="true" hidden="false" outlineLevel="0" max="3" min="3" style="1" width="25.16"/>
    <col collapsed="false" customWidth="true" hidden="false" outlineLevel="0" max="4" min="4" style="1" width="23.16"/>
    <col collapsed="false" customWidth="true" hidden="false" outlineLevel="0" max="5" min="5" style="1" width="28.33"/>
    <col collapsed="false" customWidth="true" hidden="false" outlineLevel="0" max="82" min="6" style="1" width="11.83"/>
  </cols>
  <sheetData>
    <row r="1" customFormat="false" ht="16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6306705.9</v>
      </c>
      <c r="G2" s="6" t="n">
        <v>13106286.6</v>
      </c>
      <c r="H2" s="6" t="n">
        <v>19329162.5</v>
      </c>
      <c r="I2" s="6" t="n">
        <v>31901677.2</v>
      </c>
      <c r="J2" s="6" t="n">
        <v>39230652</v>
      </c>
      <c r="K2" s="6" t="n">
        <v>48744277.8</v>
      </c>
      <c r="L2" s="6" t="n">
        <v>56399745.5</v>
      </c>
      <c r="M2" s="6" t="n">
        <v>65546158.7</v>
      </c>
      <c r="N2" s="6" t="n">
        <v>74603486</v>
      </c>
      <c r="O2" s="6" t="n">
        <v>86591181.8</v>
      </c>
      <c r="P2" s="6" t="n">
        <v>97074715.8</v>
      </c>
      <c r="Q2" s="6" t="n">
        <v>112639568.4</v>
      </c>
      <c r="R2" s="6" t="n">
        <v>7952739</v>
      </c>
      <c r="S2" s="6" t="n">
        <v>17516172</v>
      </c>
      <c r="T2" s="6" t="n">
        <v>28850292.8</v>
      </c>
      <c r="U2" s="6" t="n">
        <v>41054587.5</v>
      </c>
      <c r="V2" s="6" t="n">
        <v>55377218.7</v>
      </c>
      <c r="W2" s="6" t="n">
        <v>69465067.9</v>
      </c>
      <c r="X2" s="6" t="n">
        <v>84380222.9</v>
      </c>
      <c r="Y2" s="6" t="n">
        <v>100641943.7</v>
      </c>
      <c r="Z2" s="6" t="n">
        <v>114310512.6</v>
      </c>
      <c r="AA2" s="6" t="n">
        <v>129707692.4</v>
      </c>
      <c r="AB2" s="6" t="n">
        <v>148587470.8</v>
      </c>
      <c r="AC2" s="6" t="n">
        <v>172790117</v>
      </c>
      <c r="AD2" s="6" t="n">
        <v>9096907.9</v>
      </c>
      <c r="AE2" s="6" t="n">
        <v>21784098.3</v>
      </c>
      <c r="AF2" s="6" t="n">
        <v>36679695.3</v>
      </c>
      <c r="AG2" s="6" t="n">
        <v>54286898</v>
      </c>
      <c r="AH2" s="6" t="n">
        <v>78684720.3</v>
      </c>
      <c r="AI2" s="6" t="n">
        <v>95379001.4</v>
      </c>
      <c r="AJ2" s="6" t="n">
        <v>113526529.2</v>
      </c>
      <c r="AK2" s="6" t="n">
        <v>134629989.7</v>
      </c>
      <c r="AL2" s="6" t="n">
        <v>152277793.4</v>
      </c>
      <c r="AM2" s="6" t="n">
        <v>182189988.8</v>
      </c>
      <c r="AN2" s="6" t="n">
        <v>207094846.1</v>
      </c>
      <c r="AO2" s="6" t="n">
        <v>258444045.4</v>
      </c>
      <c r="AP2" s="6" t="n">
        <v>10646603.2</v>
      </c>
      <c r="AQ2" s="6" t="n">
        <v>24643400.7</v>
      </c>
      <c r="AR2" s="6" t="n">
        <v>41990005.5</v>
      </c>
      <c r="AS2" s="6" t="n">
        <v>61199907.2</v>
      </c>
      <c r="AT2" s="6" t="n">
        <v>98063926.6</v>
      </c>
      <c r="AU2" s="6" t="n">
        <v>122459004.5</v>
      </c>
      <c r="AV2" s="6" t="n">
        <v>143604874.3</v>
      </c>
      <c r="AW2" s="6" t="n">
        <v>179346412.6</v>
      </c>
      <c r="AX2" s="6" t="n">
        <v>241588387</v>
      </c>
      <c r="AY2" s="6" t="n">
        <v>276110179.8</v>
      </c>
      <c r="AZ2" s="6" t="n">
        <v>258764498.9</v>
      </c>
      <c r="BA2" s="6" t="n">
        <v>320443137.7</v>
      </c>
      <c r="BB2" s="6" t="n">
        <v>26491386.6</v>
      </c>
      <c r="BC2" s="6" t="n">
        <v>53637163.3</v>
      </c>
      <c r="BD2" s="6" t="n">
        <v>84826000</v>
      </c>
      <c r="BE2" s="6" t="n">
        <v>117648940.2</v>
      </c>
      <c r="BF2" s="6" t="n">
        <v>154922150.9</v>
      </c>
      <c r="BG2" s="6" t="n">
        <v>186027616.1</v>
      </c>
      <c r="BH2" s="6" t="n">
        <v>216051626</v>
      </c>
      <c r="BI2" s="6" t="n">
        <v>253439502.3</v>
      </c>
      <c r="BJ2" s="6" t="n">
        <v>290680557.9</v>
      </c>
      <c r="BK2" s="6" t="n">
        <v>331632441.8</v>
      </c>
      <c r="BL2" s="6" t="n">
        <v>371522169.4</v>
      </c>
      <c r="BM2" s="6" t="n">
        <v>455343219.3</v>
      </c>
      <c r="BN2" s="6" t="n">
        <v>30683175.5</v>
      </c>
      <c r="BO2" s="6" t="n">
        <v>63177647.6</v>
      </c>
      <c r="BP2" s="6" t="n">
        <v>98594148.3</v>
      </c>
      <c r="BQ2" s="6" t="n">
        <v>136098253.2</v>
      </c>
      <c r="BR2" s="6" t="n">
        <v>172044493.5</v>
      </c>
      <c r="BS2" s="6" t="n">
        <v>220639389</v>
      </c>
      <c r="BT2" s="6" t="n">
        <v>256033264.6</v>
      </c>
      <c r="BU2" s="6" t="n">
        <v>301502949</v>
      </c>
      <c r="BV2" s="6" t="n">
        <v>346597328.5</v>
      </c>
      <c r="BW2" s="6" t="n">
        <v>393865713.2</v>
      </c>
      <c r="BX2" s="6" t="n">
        <v>443425855.1</v>
      </c>
      <c r="BY2" s="6" t="n">
        <v>543262946.5</v>
      </c>
      <c r="BZ2" s="6" t="n">
        <v>35382532.2</v>
      </c>
      <c r="CA2" s="6" t="n">
        <v>73683006.8</v>
      </c>
      <c r="CB2" s="6" t="n">
        <v>109857435.1</v>
      </c>
      <c r="CC2" s="6" t="n">
        <v>155875495.7</v>
      </c>
      <c r="CD2" s="6" t="n">
        <v>209361159.9</v>
      </c>
    </row>
    <row r="3" customFormat="false" ht="15.75" hidden="false" customHeight="true" outlineLevel="0" collapsed="false">
      <c r="A3" s="1" t="n">
        <v>1735</v>
      </c>
      <c r="B3" s="1" t="s">
        <v>86</v>
      </c>
      <c r="C3" s="1" t="s">
        <v>87</v>
      </c>
      <c r="D3" s="1" t="s">
        <v>88</v>
      </c>
      <c r="E3" s="1" t="s">
        <v>89</v>
      </c>
      <c r="F3" s="6" t="n">
        <v>112616.2</v>
      </c>
      <c r="G3" s="6" t="n">
        <v>246423.8</v>
      </c>
      <c r="H3" s="6" t="n">
        <v>375165.2</v>
      </c>
      <c r="I3" s="6" t="n">
        <v>544217.6</v>
      </c>
      <c r="J3" s="6" t="n">
        <v>724332.9</v>
      </c>
      <c r="K3" s="6" t="n">
        <v>931636.1</v>
      </c>
      <c r="L3" s="6" t="n">
        <v>1044759.4</v>
      </c>
      <c r="M3" s="6" t="n">
        <v>1168892.1</v>
      </c>
      <c r="N3" s="6" t="n">
        <v>1315779.1</v>
      </c>
      <c r="O3" s="6" t="n">
        <v>1491495.3</v>
      </c>
      <c r="P3" s="6" t="n">
        <v>1638530.5</v>
      </c>
      <c r="Q3" s="6" t="n">
        <v>1851221.3</v>
      </c>
      <c r="R3" s="6" t="n">
        <v>114157.7</v>
      </c>
      <c r="S3" s="6" t="n">
        <v>253083.4</v>
      </c>
      <c r="T3" s="6" t="n">
        <v>410010.8</v>
      </c>
      <c r="U3" s="6" t="n">
        <v>605580</v>
      </c>
      <c r="V3" s="6" t="n">
        <v>822386.3</v>
      </c>
      <c r="W3" s="6" t="n">
        <v>1041448</v>
      </c>
      <c r="X3" s="6" t="n">
        <v>1249451.4</v>
      </c>
      <c r="Y3" s="6" t="n">
        <v>1473574.8</v>
      </c>
      <c r="Z3" s="6" t="n">
        <v>1675474.1</v>
      </c>
      <c r="AA3" s="6" t="n">
        <v>1894720.8</v>
      </c>
      <c r="AB3" s="6" t="n">
        <v>2162163.3</v>
      </c>
      <c r="AC3" s="6" t="n">
        <v>2498473.8</v>
      </c>
      <c r="AD3" s="6" t="n">
        <v>111377.3</v>
      </c>
      <c r="AE3" s="6" t="n">
        <v>277721.1</v>
      </c>
      <c r="AF3" s="6" t="n">
        <v>451139.6</v>
      </c>
      <c r="AG3" s="6" t="n">
        <v>686398</v>
      </c>
      <c r="AH3" s="6" t="n">
        <v>1097936</v>
      </c>
      <c r="AI3" s="6" t="n">
        <v>1185368.9</v>
      </c>
      <c r="AJ3" s="6" t="n">
        <v>1451691.6</v>
      </c>
      <c r="AK3" s="6" t="n">
        <v>1721354.6</v>
      </c>
      <c r="AL3" s="6" t="n">
        <v>1974673.7</v>
      </c>
      <c r="AM3" s="6" t="n">
        <v>2482740.8</v>
      </c>
      <c r="AN3" s="6" t="n">
        <v>2834584.2</v>
      </c>
      <c r="AO3" s="6" t="n">
        <v>3626827</v>
      </c>
      <c r="AP3" s="6" t="n">
        <v>112034.4</v>
      </c>
      <c r="AQ3" s="6" t="n">
        <v>266712.8</v>
      </c>
      <c r="AR3" s="6" t="n">
        <v>472535.9</v>
      </c>
      <c r="AS3" s="6" t="n">
        <v>733464.3</v>
      </c>
      <c r="AT3" s="6" t="n">
        <v>1300115.7</v>
      </c>
      <c r="AU3" s="6" t="n">
        <v>1638970.5</v>
      </c>
      <c r="AV3" s="6" t="n">
        <v>1901300.9</v>
      </c>
      <c r="AW3" s="6" t="n">
        <v>2564416.2</v>
      </c>
      <c r="AX3" s="6" t="n">
        <v>3582035.6</v>
      </c>
      <c r="AY3" s="6" t="n">
        <v>4095191.5</v>
      </c>
      <c r="AZ3" s="6" t="n">
        <v>3394858.3</v>
      </c>
      <c r="BA3" s="6" t="n">
        <v>4334670.2</v>
      </c>
      <c r="BB3" s="6" t="n">
        <v>361264.1</v>
      </c>
      <c r="BC3" s="6" t="n">
        <v>758296.7</v>
      </c>
      <c r="BD3" s="6" t="n">
        <v>1298546.5</v>
      </c>
      <c r="BE3" s="6" t="n">
        <v>1744669.3</v>
      </c>
      <c r="BF3" s="6" t="n">
        <v>2312317.4</v>
      </c>
      <c r="BG3" s="6" t="n">
        <v>2915118.8</v>
      </c>
      <c r="BH3" s="6" t="n">
        <v>3401611.7</v>
      </c>
      <c r="BI3" s="6" t="n">
        <v>3948554.2</v>
      </c>
      <c r="BJ3" s="6" t="n">
        <v>4524711.5</v>
      </c>
      <c r="BK3" s="6" t="n">
        <v>5141966.5</v>
      </c>
      <c r="BL3" s="6" t="n">
        <v>5744781.1</v>
      </c>
      <c r="BM3" s="6" t="n">
        <v>6757015.9</v>
      </c>
      <c r="BN3" s="6" t="n">
        <v>405661.2</v>
      </c>
      <c r="BO3" s="6" t="n">
        <v>869455.8</v>
      </c>
      <c r="BP3" s="6" t="n">
        <v>1465779.4</v>
      </c>
      <c r="BQ3" s="6" t="n">
        <v>1961372.3</v>
      </c>
      <c r="BR3" s="6" t="n">
        <v>2443243.2</v>
      </c>
      <c r="BS3" s="6" t="n">
        <v>3272999.7</v>
      </c>
      <c r="BT3" s="6" t="n">
        <v>3768306.2</v>
      </c>
      <c r="BU3" s="6" t="n">
        <v>4395865.8</v>
      </c>
      <c r="BV3" s="6" t="n">
        <v>5076058.7</v>
      </c>
      <c r="BW3" s="6" t="n">
        <v>5732825.5</v>
      </c>
      <c r="BX3" s="6" t="n">
        <v>6434871.9</v>
      </c>
      <c r="BY3" s="6" t="n">
        <v>7760284.8</v>
      </c>
      <c r="BZ3" s="6" t="n">
        <v>480349.9</v>
      </c>
      <c r="CA3" s="6" t="n">
        <v>970840.9</v>
      </c>
      <c r="CB3" s="6" t="n">
        <v>1415225.3</v>
      </c>
      <c r="CC3" s="6" t="n">
        <v>2128016</v>
      </c>
      <c r="CD3" s="6" t="n">
        <v>2758180.1</v>
      </c>
    </row>
    <row r="4" customFormat="false" ht="15.75" hidden="false" customHeight="true" outlineLevel="0" collapsed="false">
      <c r="A4" s="1" t="n">
        <v>1703</v>
      </c>
      <c r="B4" s="1" t="s">
        <v>90</v>
      </c>
      <c r="C4" s="1" t="s">
        <v>91</v>
      </c>
      <c r="D4" s="1" t="s">
        <v>92</v>
      </c>
      <c r="E4" s="1" t="s">
        <v>93</v>
      </c>
      <c r="F4" s="6" t="n">
        <v>215167.8</v>
      </c>
      <c r="G4" s="6" t="n">
        <v>474576.1</v>
      </c>
      <c r="H4" s="6" t="n">
        <v>754940.3</v>
      </c>
      <c r="I4" s="6" t="n">
        <v>928487.1</v>
      </c>
      <c r="J4" s="6" t="n">
        <v>1199856</v>
      </c>
      <c r="K4" s="6" t="n">
        <v>1378629.3</v>
      </c>
      <c r="L4" s="6" t="n">
        <v>1582060.3</v>
      </c>
      <c r="M4" s="6" t="n">
        <v>1798259.9</v>
      </c>
      <c r="N4" s="6" t="n">
        <v>2029171.6</v>
      </c>
      <c r="O4" s="6" t="n">
        <v>3275023.7</v>
      </c>
      <c r="P4" s="6" t="n">
        <v>3640209.3</v>
      </c>
      <c r="Q4" s="6" t="n">
        <v>3963295.3</v>
      </c>
      <c r="R4" s="6" t="n">
        <v>254002.3</v>
      </c>
      <c r="S4" s="6" t="n">
        <v>539162.9</v>
      </c>
      <c r="T4" s="6" t="n">
        <v>906932.2</v>
      </c>
      <c r="U4" s="6" t="n">
        <v>1266726.5</v>
      </c>
      <c r="V4" s="6" t="n">
        <v>1772499.5</v>
      </c>
      <c r="W4" s="6" t="n">
        <v>2262212</v>
      </c>
      <c r="X4" s="6" t="n">
        <v>2573354.5</v>
      </c>
      <c r="Y4" s="6" t="n">
        <v>2987159</v>
      </c>
      <c r="Z4" s="6" t="n">
        <v>3353087.6</v>
      </c>
      <c r="AA4" s="6" t="n">
        <v>3403698.7</v>
      </c>
      <c r="AB4" s="6" t="n">
        <v>3876142.7</v>
      </c>
      <c r="AC4" s="6" t="n">
        <v>4528728.7</v>
      </c>
      <c r="AD4" s="6" t="n">
        <v>210584</v>
      </c>
      <c r="AE4" s="6" t="n">
        <v>511322.8</v>
      </c>
      <c r="AF4" s="6" t="n">
        <v>867210.9</v>
      </c>
      <c r="AG4" s="6" t="n">
        <v>1369219.1</v>
      </c>
      <c r="AH4" s="6" t="n">
        <v>1947507.2</v>
      </c>
      <c r="AI4" s="6" t="n">
        <v>2325646.9</v>
      </c>
      <c r="AJ4" s="6" t="n">
        <v>2737401.1</v>
      </c>
      <c r="AK4" s="6" t="n">
        <v>3206203.3</v>
      </c>
      <c r="AL4" s="6" t="n">
        <v>3741450</v>
      </c>
      <c r="AM4" s="6" t="n">
        <v>4373644.8</v>
      </c>
      <c r="AN4" s="6" t="n">
        <v>4961785</v>
      </c>
      <c r="AO4" s="6" t="n">
        <v>6313984.8</v>
      </c>
      <c r="AP4" s="6" t="n">
        <v>231639.4</v>
      </c>
      <c r="AQ4" s="6" t="n">
        <v>515078.2</v>
      </c>
      <c r="AR4" s="6" t="n">
        <v>919101.7</v>
      </c>
      <c r="AS4" s="6" t="n">
        <v>1451701.7</v>
      </c>
      <c r="AT4" s="6" t="n">
        <v>2322334.6</v>
      </c>
      <c r="AU4" s="6" t="n">
        <v>2920090.8</v>
      </c>
      <c r="AV4" s="6" t="n">
        <v>3336429</v>
      </c>
      <c r="AW4" s="6" t="n">
        <v>4591223</v>
      </c>
      <c r="AX4" s="6" t="n">
        <v>7064294.5</v>
      </c>
      <c r="AY4" s="6" t="n">
        <v>8077804.1</v>
      </c>
      <c r="AZ4" s="6" t="n">
        <v>6030219.3</v>
      </c>
      <c r="BA4" s="6" t="n">
        <v>7630253.4</v>
      </c>
      <c r="BB4" s="6" t="n">
        <v>739551.9</v>
      </c>
      <c r="BC4" s="6" t="n">
        <v>1544397.5</v>
      </c>
      <c r="BD4" s="6" t="n">
        <v>2413932</v>
      </c>
      <c r="BE4" s="6" t="n">
        <v>3343246.3</v>
      </c>
      <c r="BF4" s="6" t="n">
        <v>4483150.8</v>
      </c>
      <c r="BG4" s="6" t="n">
        <v>5409854.7</v>
      </c>
      <c r="BH4" s="6" t="n">
        <v>6276784.6</v>
      </c>
      <c r="BI4" s="6" t="n">
        <v>7373934</v>
      </c>
      <c r="BJ4" s="6" t="n">
        <v>8473924.3</v>
      </c>
      <c r="BK4" s="6" t="n">
        <v>9682785.7</v>
      </c>
      <c r="BL4" s="6" t="n">
        <v>10883050.5</v>
      </c>
      <c r="BM4" s="6" t="n">
        <v>13321324.3</v>
      </c>
      <c r="BN4" s="6" t="n">
        <v>849101.2</v>
      </c>
      <c r="BO4" s="6" t="n">
        <v>1792743.5</v>
      </c>
      <c r="BP4" s="6" t="n">
        <v>2739755.4</v>
      </c>
      <c r="BQ4" s="6" t="n">
        <v>3763972</v>
      </c>
      <c r="BR4" s="6" t="n">
        <v>4717248.6</v>
      </c>
      <c r="BS4" s="6" t="n">
        <v>6075764.9</v>
      </c>
      <c r="BT4" s="6" t="n">
        <v>7152937.2</v>
      </c>
      <c r="BU4" s="6" t="n">
        <v>8426974.6</v>
      </c>
      <c r="BV4" s="6" t="n">
        <v>9644699.3</v>
      </c>
      <c r="BW4" s="6" t="n">
        <v>10952269.7</v>
      </c>
      <c r="BX4" s="6" t="n">
        <v>12492463.1</v>
      </c>
      <c r="BY4" s="6" t="n">
        <v>15024949.2</v>
      </c>
      <c r="BZ4" s="6" t="n">
        <v>991071.9</v>
      </c>
      <c r="CA4" s="6" t="n">
        <v>2166581.7</v>
      </c>
      <c r="CB4" s="6" t="n">
        <v>3147701.9</v>
      </c>
      <c r="CC4" s="6" t="n">
        <v>4461507</v>
      </c>
      <c r="CD4" s="6" t="n">
        <v>5748091.5</v>
      </c>
    </row>
    <row r="5" customFormat="false" ht="15.75" hidden="false" customHeight="true" outlineLevel="0" collapsed="false">
      <c r="A5" s="1" t="n">
        <v>1706</v>
      </c>
      <c r="B5" s="1" t="s">
        <v>94</v>
      </c>
      <c r="C5" s="1" t="s">
        <v>95</v>
      </c>
      <c r="D5" s="1" t="s">
        <v>96</v>
      </c>
      <c r="E5" s="1" t="s">
        <v>97</v>
      </c>
      <c r="F5" s="6" t="n">
        <v>138212.5</v>
      </c>
      <c r="G5" s="6" t="n">
        <v>295167.7</v>
      </c>
      <c r="H5" s="6" t="n">
        <v>499654.6</v>
      </c>
      <c r="I5" s="6" t="n">
        <v>1059982.2</v>
      </c>
      <c r="J5" s="6" t="n">
        <v>1390984.5</v>
      </c>
      <c r="K5" s="6" t="n">
        <v>1586338.6</v>
      </c>
      <c r="L5" s="6" t="n">
        <v>1736646.1</v>
      </c>
      <c r="M5" s="6" t="n">
        <v>1996838.8</v>
      </c>
      <c r="N5" s="6" t="n">
        <v>2241768</v>
      </c>
      <c r="O5" s="6" t="n">
        <v>2406088</v>
      </c>
      <c r="P5" s="6" t="n">
        <v>2701138.2</v>
      </c>
      <c r="Q5" s="6" t="n">
        <v>3717299.8</v>
      </c>
      <c r="R5" s="6" t="n">
        <v>380778.6</v>
      </c>
      <c r="S5" s="6" t="n">
        <v>829222.1</v>
      </c>
      <c r="T5" s="6" t="n">
        <v>1252116.2</v>
      </c>
      <c r="U5" s="6" t="n">
        <v>1808156.4</v>
      </c>
      <c r="V5" s="6" t="n">
        <v>2701200.9</v>
      </c>
      <c r="W5" s="6" t="n">
        <v>3292129.6</v>
      </c>
      <c r="X5" s="6" t="n">
        <v>3957460.1</v>
      </c>
      <c r="Y5" s="6" t="n">
        <v>4625324.7</v>
      </c>
      <c r="Z5" s="6" t="n">
        <v>5158013.8</v>
      </c>
      <c r="AA5" s="6" t="n">
        <v>5853728.1</v>
      </c>
      <c r="AB5" s="6" t="n">
        <v>6693109.9</v>
      </c>
      <c r="AC5" s="6" t="n">
        <v>6689365.6</v>
      </c>
      <c r="AD5" s="6" t="n">
        <v>428510.4</v>
      </c>
      <c r="AE5" s="6" t="n">
        <v>1063797.3</v>
      </c>
      <c r="AF5" s="6" t="n">
        <v>1915940.3</v>
      </c>
      <c r="AG5" s="6" t="n">
        <v>3137860.5</v>
      </c>
      <c r="AH5" s="6" t="n">
        <v>3977004.5</v>
      </c>
      <c r="AI5" s="6" t="n">
        <v>6345876.6</v>
      </c>
      <c r="AJ5" s="6" t="n">
        <v>7117402.4</v>
      </c>
      <c r="AK5" s="6" t="n">
        <v>7756282.8</v>
      </c>
      <c r="AL5" s="6" t="n">
        <v>8212558.3</v>
      </c>
      <c r="AM5" s="6" t="n">
        <v>9658653.2</v>
      </c>
      <c r="AN5" s="6" t="n">
        <v>10844140.3</v>
      </c>
      <c r="AO5" s="6" t="n">
        <v>13450872.9</v>
      </c>
      <c r="AP5" s="6" t="n">
        <v>520880.5</v>
      </c>
      <c r="AQ5" s="6" t="n">
        <v>1289787.8</v>
      </c>
      <c r="AR5" s="6" t="n">
        <v>2206585.9</v>
      </c>
      <c r="AS5" s="6" t="n">
        <v>3544157.9</v>
      </c>
      <c r="AT5" s="6" t="n">
        <v>4781659.4</v>
      </c>
      <c r="AU5" s="6" t="n">
        <v>6160560.5</v>
      </c>
      <c r="AV5" s="6" t="n">
        <v>7273818.7</v>
      </c>
      <c r="AW5" s="6" t="n">
        <v>7595369.9</v>
      </c>
      <c r="AX5" s="6" t="n">
        <v>10297093.3</v>
      </c>
      <c r="AY5" s="6" t="n">
        <v>11709775.8</v>
      </c>
      <c r="AZ5" s="6" t="n">
        <v>12858946.6</v>
      </c>
      <c r="BA5" s="6" t="n">
        <v>15929219.8</v>
      </c>
      <c r="BB5" s="6" t="n">
        <v>982947.6</v>
      </c>
      <c r="BC5" s="6" t="n">
        <v>1923086.7</v>
      </c>
      <c r="BD5" s="6" t="n">
        <v>3679397.2</v>
      </c>
      <c r="BE5" s="6" t="n">
        <v>4883857.2</v>
      </c>
      <c r="BF5" s="6" t="n">
        <v>6206395.7</v>
      </c>
      <c r="BG5" s="6" t="n">
        <v>7319829.8</v>
      </c>
      <c r="BH5" s="6" t="n">
        <v>8416141.6</v>
      </c>
      <c r="BI5" s="6" t="n">
        <v>9880511.2</v>
      </c>
      <c r="BJ5" s="6" t="n">
        <v>11521078.8</v>
      </c>
      <c r="BK5" s="6" t="n">
        <v>12955478.7</v>
      </c>
      <c r="BL5" s="6" t="n">
        <v>14445450.7</v>
      </c>
      <c r="BM5" s="6" t="n">
        <v>18023860.1</v>
      </c>
      <c r="BN5" s="6" t="n">
        <v>1138789.5</v>
      </c>
      <c r="BO5" s="6" t="n">
        <v>2299702.4</v>
      </c>
      <c r="BP5" s="6" t="n">
        <v>4503124.4</v>
      </c>
      <c r="BQ5" s="6" t="n">
        <v>5834492.9</v>
      </c>
      <c r="BR5" s="6" t="n">
        <v>7130718.4</v>
      </c>
      <c r="BS5" s="6" t="n">
        <v>8800354</v>
      </c>
      <c r="BT5" s="6" t="n">
        <v>10067352.9</v>
      </c>
      <c r="BU5" s="6" t="n">
        <v>11799184.8</v>
      </c>
      <c r="BV5" s="6" t="n">
        <v>13827555.9</v>
      </c>
      <c r="BW5" s="6" t="n">
        <v>15445565.8</v>
      </c>
      <c r="BX5" s="6" t="n">
        <v>17273239.7</v>
      </c>
      <c r="BY5" s="6" t="n">
        <v>20996950.2</v>
      </c>
      <c r="BZ5" s="6" t="n">
        <v>1396865</v>
      </c>
      <c r="CA5" s="6" t="n">
        <v>2960935.3</v>
      </c>
      <c r="CB5" s="6" t="n">
        <v>4867680.5</v>
      </c>
      <c r="CC5" s="6" t="n">
        <v>6611988.6</v>
      </c>
      <c r="CD5" s="6" t="n">
        <v>8270260.8</v>
      </c>
    </row>
    <row r="6" customFormat="false" ht="15.75" hidden="false" customHeight="true" outlineLevel="0" collapsed="false">
      <c r="A6" s="1" t="n">
        <v>1708</v>
      </c>
      <c r="B6" s="1" t="s">
        <v>98</v>
      </c>
      <c r="C6" s="1" t="s">
        <v>99</v>
      </c>
      <c r="D6" s="1" t="s">
        <v>100</v>
      </c>
      <c r="E6" s="1" t="s">
        <v>101</v>
      </c>
      <c r="F6" s="6" t="n">
        <v>134797.6</v>
      </c>
      <c r="G6" s="6" t="n">
        <v>285050.8</v>
      </c>
      <c r="H6" s="6" t="n">
        <v>440631.5</v>
      </c>
      <c r="I6" s="6" t="n">
        <v>657425.5</v>
      </c>
      <c r="J6" s="6" t="n">
        <v>802113.2</v>
      </c>
      <c r="K6" s="6" t="n">
        <v>956399.5</v>
      </c>
      <c r="L6" s="6" t="n">
        <v>1070335.5</v>
      </c>
      <c r="M6" s="6" t="n">
        <v>1214846</v>
      </c>
      <c r="N6" s="6" t="n">
        <v>1367039.9</v>
      </c>
      <c r="O6" s="6" t="n">
        <v>1512828.3</v>
      </c>
      <c r="P6" s="6" t="n">
        <v>1731547.5</v>
      </c>
      <c r="Q6" s="6" t="n">
        <v>2148982.4</v>
      </c>
      <c r="R6" s="6" t="n">
        <v>102534.6</v>
      </c>
      <c r="S6" s="6" t="n">
        <v>228498.7</v>
      </c>
      <c r="T6" s="6" t="n">
        <v>378302.8</v>
      </c>
      <c r="U6" s="6" t="n">
        <v>549260.7</v>
      </c>
      <c r="V6" s="6" t="n">
        <v>719138.5</v>
      </c>
      <c r="W6" s="6" t="n">
        <v>970462</v>
      </c>
      <c r="X6" s="6" t="n">
        <v>1173879.5</v>
      </c>
      <c r="Y6" s="6" t="n">
        <v>1389424.8</v>
      </c>
      <c r="Z6" s="6" t="n">
        <v>1611017.8</v>
      </c>
      <c r="AA6" s="6" t="n">
        <v>1825381.3</v>
      </c>
      <c r="AB6" s="6" t="n">
        <v>2064137</v>
      </c>
      <c r="AC6" s="6" t="n">
        <v>2279863.1</v>
      </c>
      <c r="AD6" s="6" t="n">
        <v>97269.3</v>
      </c>
      <c r="AE6" s="6" t="n">
        <v>264178.3</v>
      </c>
      <c r="AF6" s="6" t="n">
        <v>445123.4</v>
      </c>
      <c r="AG6" s="6" t="n">
        <v>661586.9</v>
      </c>
      <c r="AH6" s="6" t="n">
        <v>1030190</v>
      </c>
      <c r="AI6" s="6" t="n">
        <v>1139366.4</v>
      </c>
      <c r="AJ6" s="6" t="n">
        <v>1389598.2</v>
      </c>
      <c r="AK6" s="6" t="n">
        <v>1682167.9</v>
      </c>
      <c r="AL6" s="6" t="n">
        <v>1944388.7</v>
      </c>
      <c r="AM6" s="6" t="n">
        <v>2435280.9</v>
      </c>
      <c r="AN6" s="6" t="n">
        <v>2760903.3</v>
      </c>
      <c r="AO6" s="6" t="n">
        <v>3522258</v>
      </c>
      <c r="AP6" s="6" t="n">
        <v>105654.4</v>
      </c>
      <c r="AQ6" s="6" t="n">
        <v>230275</v>
      </c>
      <c r="AR6" s="6" t="n">
        <v>407606.5</v>
      </c>
      <c r="AS6" s="6" t="n">
        <v>621873</v>
      </c>
      <c r="AT6" s="6" t="n">
        <v>1152040.8</v>
      </c>
      <c r="AU6" s="6" t="n">
        <v>1520901.4</v>
      </c>
      <c r="AV6" s="6" t="n">
        <v>1761638</v>
      </c>
      <c r="AW6" s="6" t="n">
        <v>1588404.8</v>
      </c>
      <c r="AX6" s="6" t="n">
        <v>2111132.7</v>
      </c>
      <c r="AY6" s="6" t="n">
        <v>2196455.4</v>
      </c>
      <c r="AZ6" s="6" t="n">
        <v>3278948.6</v>
      </c>
      <c r="BA6" s="6" t="n">
        <v>4154987.5</v>
      </c>
      <c r="BB6" s="6" t="n">
        <v>351706.1</v>
      </c>
      <c r="BC6" s="6" t="n">
        <v>710710</v>
      </c>
      <c r="BD6" s="6" t="n">
        <v>997576.1</v>
      </c>
      <c r="BE6" s="6" t="n">
        <v>1434264.1</v>
      </c>
      <c r="BF6" s="6" t="n">
        <v>1972351.3</v>
      </c>
      <c r="BG6" s="6" t="n">
        <v>2255338.6</v>
      </c>
      <c r="BH6" s="6" t="n">
        <v>2623123.6</v>
      </c>
      <c r="BI6" s="6" t="n">
        <v>3113988.4</v>
      </c>
      <c r="BJ6" s="6" t="n">
        <v>3328232.8</v>
      </c>
      <c r="BK6" s="6" t="n">
        <v>3892302.9</v>
      </c>
      <c r="BL6" s="6" t="n">
        <v>4395896.5</v>
      </c>
      <c r="BM6" s="6" t="n">
        <v>5539755.6</v>
      </c>
      <c r="BN6" s="6" t="n">
        <v>436681.4</v>
      </c>
      <c r="BO6" s="6" t="n">
        <v>863771</v>
      </c>
      <c r="BP6" s="6" t="n">
        <v>1168897.4</v>
      </c>
      <c r="BQ6" s="6" t="n">
        <v>1672479.7</v>
      </c>
      <c r="BR6" s="6" t="n">
        <v>2518638.2</v>
      </c>
      <c r="BS6" s="6" t="n">
        <v>3149347.7</v>
      </c>
      <c r="BT6" s="6" t="n">
        <v>3947934.2</v>
      </c>
      <c r="BU6" s="6" t="n">
        <v>4791001</v>
      </c>
      <c r="BV6" s="6" t="n">
        <v>3727702.4</v>
      </c>
      <c r="BW6" s="6" t="n">
        <v>4418532.6</v>
      </c>
      <c r="BX6" s="6" t="n">
        <v>4929835.2</v>
      </c>
      <c r="BY6" s="6" t="n">
        <v>6402315.6</v>
      </c>
      <c r="BZ6" s="6" t="n">
        <v>382415.6</v>
      </c>
      <c r="CA6" s="6" t="n">
        <v>427806.4</v>
      </c>
      <c r="CB6" s="6" t="n">
        <v>1043254</v>
      </c>
      <c r="CC6" s="6" t="n">
        <v>1792309.5</v>
      </c>
      <c r="CD6" s="6" t="n">
        <v>2835685.7</v>
      </c>
    </row>
    <row r="7" customFormat="false" ht="15.75" hidden="false" customHeight="true" outlineLevel="0" collapsed="false">
      <c r="A7" s="1" t="n">
        <v>1710</v>
      </c>
      <c r="B7" s="1" t="s">
        <v>102</v>
      </c>
      <c r="C7" s="1" t="s">
        <v>103</v>
      </c>
      <c r="D7" s="1" t="s">
        <v>104</v>
      </c>
      <c r="E7" s="1" t="s">
        <v>105</v>
      </c>
      <c r="F7" s="6" t="n">
        <v>174263.9</v>
      </c>
      <c r="G7" s="6" t="n">
        <v>333917.9</v>
      </c>
      <c r="H7" s="6" t="n">
        <v>544334.7</v>
      </c>
      <c r="I7" s="6" t="n">
        <v>797423.3</v>
      </c>
      <c r="J7" s="6" t="n">
        <v>950578</v>
      </c>
      <c r="K7" s="6" t="n">
        <v>1207894.8</v>
      </c>
      <c r="L7" s="6" t="n">
        <v>1333586.5</v>
      </c>
      <c r="M7" s="6" t="n">
        <v>1570853.5</v>
      </c>
      <c r="N7" s="6" t="n">
        <v>1770234.4</v>
      </c>
      <c r="O7" s="6" t="n">
        <v>2181827.9</v>
      </c>
      <c r="P7" s="6" t="n">
        <v>2435543.3</v>
      </c>
      <c r="Q7" s="6" t="n">
        <v>2708148.5</v>
      </c>
      <c r="R7" s="6" t="n">
        <v>186448.9</v>
      </c>
      <c r="S7" s="6" t="n">
        <v>425352.7</v>
      </c>
      <c r="T7" s="6" t="n">
        <v>687131.6</v>
      </c>
      <c r="U7" s="6" t="n">
        <v>1019671.1</v>
      </c>
      <c r="V7" s="6" t="n">
        <v>1305662.1</v>
      </c>
      <c r="W7" s="6" t="n">
        <v>1640747</v>
      </c>
      <c r="X7" s="6" t="n">
        <v>2011434.9</v>
      </c>
      <c r="Y7" s="6" t="n">
        <v>2359466.7</v>
      </c>
      <c r="Z7" s="6" t="n">
        <v>2665378.5</v>
      </c>
      <c r="AA7" s="6" t="n">
        <v>3078689.6</v>
      </c>
      <c r="AB7" s="6" t="n">
        <v>3488703.6</v>
      </c>
      <c r="AC7" s="6" t="n">
        <v>3835805.5</v>
      </c>
      <c r="AD7" s="6" t="n">
        <v>202349.7</v>
      </c>
      <c r="AE7" s="6" t="n">
        <v>457665.7</v>
      </c>
      <c r="AF7" s="6" t="n">
        <v>741669.4</v>
      </c>
      <c r="AG7" s="6" t="n">
        <v>1109535.5</v>
      </c>
      <c r="AH7" s="6" t="n">
        <v>1731353</v>
      </c>
      <c r="AI7" s="6" t="n">
        <v>1932783.2</v>
      </c>
      <c r="AJ7" s="6" t="n">
        <v>2426153.3</v>
      </c>
      <c r="AK7" s="6" t="n">
        <v>2873073</v>
      </c>
      <c r="AL7" s="6" t="n">
        <v>3243945.7</v>
      </c>
      <c r="AM7" s="6" t="n">
        <v>4324401.5</v>
      </c>
      <c r="AN7" s="6" t="n">
        <v>4859954.8</v>
      </c>
      <c r="AO7" s="6" t="n">
        <v>6158340.7</v>
      </c>
      <c r="AP7" s="6" t="n">
        <v>210991</v>
      </c>
      <c r="AQ7" s="6" t="n">
        <v>498343.4</v>
      </c>
      <c r="AR7" s="6" t="n">
        <v>834282.8</v>
      </c>
      <c r="AS7" s="6" t="n">
        <v>1251473.6</v>
      </c>
      <c r="AT7" s="6" t="n">
        <v>2075335.9</v>
      </c>
      <c r="AU7" s="6" t="n">
        <v>2689268.3</v>
      </c>
      <c r="AV7" s="6" t="n">
        <v>3238802.6</v>
      </c>
      <c r="AW7" s="6" t="n">
        <v>3565098.1</v>
      </c>
      <c r="AX7" s="6" t="n">
        <v>4766609.1</v>
      </c>
      <c r="AY7" s="6" t="n">
        <v>5418251.4</v>
      </c>
      <c r="AZ7" s="6" t="n">
        <v>5726998.2</v>
      </c>
      <c r="BA7" s="6" t="n">
        <v>7256772</v>
      </c>
      <c r="BB7" s="6" t="n">
        <v>477138.8</v>
      </c>
      <c r="BC7" s="6" t="n">
        <v>986403.4</v>
      </c>
      <c r="BD7" s="6" t="n">
        <v>1600122.4</v>
      </c>
      <c r="BE7" s="6" t="n">
        <v>2216031.7</v>
      </c>
      <c r="BF7" s="6" t="n">
        <v>2899373.1</v>
      </c>
      <c r="BG7" s="6" t="n">
        <v>3530012.2</v>
      </c>
      <c r="BH7" s="6" t="n">
        <v>4097135.3</v>
      </c>
      <c r="BI7" s="6" t="n">
        <v>4819801</v>
      </c>
      <c r="BJ7" s="6" t="n">
        <v>5516527</v>
      </c>
      <c r="BK7" s="6" t="n">
        <v>6426566.1</v>
      </c>
      <c r="BL7" s="6" t="n">
        <v>7198646.8</v>
      </c>
      <c r="BM7" s="6" t="n">
        <v>8844519.6</v>
      </c>
      <c r="BN7" s="6" t="n">
        <v>534700.2</v>
      </c>
      <c r="BO7" s="6" t="n">
        <v>1122301</v>
      </c>
      <c r="BP7" s="6" t="n">
        <v>1780610.1</v>
      </c>
      <c r="BQ7" s="6" t="n">
        <v>2459646.2</v>
      </c>
      <c r="BR7" s="6" t="n">
        <v>3140423</v>
      </c>
      <c r="BS7" s="6" t="n">
        <v>4095599</v>
      </c>
      <c r="BT7" s="6" t="n">
        <v>4752827.3</v>
      </c>
      <c r="BU7" s="6" t="n">
        <v>5533079.7</v>
      </c>
      <c r="BV7" s="6" t="n">
        <v>6406407</v>
      </c>
      <c r="BW7" s="6" t="n">
        <v>7328932.6</v>
      </c>
      <c r="BX7" s="6" t="n">
        <v>8286283.5</v>
      </c>
      <c r="BY7" s="6" t="n">
        <v>10159700.5</v>
      </c>
      <c r="BZ7" s="6" t="n">
        <v>633983</v>
      </c>
      <c r="CA7" s="6" t="n">
        <v>1468924.2</v>
      </c>
      <c r="CB7" s="6" t="n">
        <v>3145076.2</v>
      </c>
      <c r="CC7" s="6" t="n">
        <v>3005125.4</v>
      </c>
      <c r="CD7" s="6" t="n">
        <v>3933506</v>
      </c>
    </row>
    <row r="8" customFormat="false" ht="15.75" hidden="false" customHeight="true" outlineLevel="0" collapsed="false">
      <c r="A8" s="1" t="n">
        <v>1712</v>
      </c>
      <c r="B8" s="1" t="s">
        <v>106</v>
      </c>
      <c r="C8" s="1" t="s">
        <v>107</v>
      </c>
      <c r="D8" s="1" t="s">
        <v>108</v>
      </c>
      <c r="E8" s="1" t="s">
        <v>109</v>
      </c>
      <c r="F8" s="6" t="n">
        <v>94722.6</v>
      </c>
      <c r="G8" s="6" t="n">
        <v>213998.4</v>
      </c>
      <c r="H8" s="6" t="n">
        <v>364844.8</v>
      </c>
      <c r="I8" s="6" t="n">
        <v>510884.4</v>
      </c>
      <c r="J8" s="6" t="n">
        <v>662636.4</v>
      </c>
      <c r="K8" s="6" t="n">
        <v>753414.7</v>
      </c>
      <c r="L8" s="6" t="n">
        <v>886808.5</v>
      </c>
      <c r="M8" s="6" t="n">
        <v>1002036.5</v>
      </c>
      <c r="N8" s="6" t="n">
        <v>1143065.2</v>
      </c>
      <c r="O8" s="6" t="n">
        <v>1292324.4</v>
      </c>
      <c r="P8" s="6" t="n">
        <v>1447703.9</v>
      </c>
      <c r="Q8" s="6" t="n">
        <v>1611664.7</v>
      </c>
      <c r="R8" s="6" t="n">
        <v>98361.2</v>
      </c>
      <c r="S8" s="6" t="n">
        <v>217512.5</v>
      </c>
      <c r="T8" s="6" t="n">
        <v>362751.4</v>
      </c>
      <c r="U8" s="6" t="n">
        <v>530047.1</v>
      </c>
      <c r="V8" s="6" t="n">
        <v>725876.4</v>
      </c>
      <c r="W8" s="6" t="n">
        <v>911151.5</v>
      </c>
      <c r="X8" s="6" t="n">
        <v>1116808.1</v>
      </c>
      <c r="Y8" s="6" t="n">
        <v>1344557.7</v>
      </c>
      <c r="Z8" s="6" t="n">
        <v>1534711.5</v>
      </c>
      <c r="AA8" s="6" t="n">
        <v>1742834.9</v>
      </c>
      <c r="AB8" s="6" t="n">
        <v>1991316.2</v>
      </c>
      <c r="AC8" s="6" t="n">
        <v>2280102.6</v>
      </c>
      <c r="AD8" s="6" t="n">
        <v>78961</v>
      </c>
      <c r="AE8" s="6" t="n">
        <v>255509.1</v>
      </c>
      <c r="AF8" s="6" t="n">
        <v>437043.3</v>
      </c>
      <c r="AG8" s="6" t="n">
        <v>660145.3</v>
      </c>
      <c r="AH8" s="6" t="n">
        <v>833264.7</v>
      </c>
      <c r="AI8" s="6" t="n">
        <v>1153572.4</v>
      </c>
      <c r="AJ8" s="6" t="n">
        <v>1451391</v>
      </c>
      <c r="AK8" s="6" t="n">
        <v>1757408.6</v>
      </c>
      <c r="AL8" s="6" t="n">
        <v>2006093.3</v>
      </c>
      <c r="AM8" s="6" t="n">
        <v>2159611.4</v>
      </c>
      <c r="AN8" s="6" t="n">
        <v>2635585.1</v>
      </c>
      <c r="AO8" s="6" t="n">
        <v>3284291.5</v>
      </c>
      <c r="AP8" s="6" t="n">
        <v>73353.5</v>
      </c>
      <c r="AQ8" s="6" t="n">
        <v>219435.6</v>
      </c>
      <c r="AR8" s="6" t="n">
        <v>398037.8</v>
      </c>
      <c r="AS8" s="6" t="n">
        <v>601840.7</v>
      </c>
      <c r="AT8" s="6" t="n">
        <v>1012185.4</v>
      </c>
      <c r="AU8" s="6" t="n">
        <v>1310590.1</v>
      </c>
      <c r="AV8" s="6" t="n">
        <v>1564987</v>
      </c>
      <c r="AW8" s="6" t="n">
        <v>2030960</v>
      </c>
      <c r="AX8" s="6" t="n">
        <v>2633564.5</v>
      </c>
      <c r="AY8" s="6" t="n">
        <v>3026617.4</v>
      </c>
      <c r="AZ8" s="6" t="n">
        <v>2941422.6</v>
      </c>
      <c r="BA8" s="6" t="n">
        <v>3740707.1</v>
      </c>
      <c r="BB8" s="6" t="n">
        <v>250305.6</v>
      </c>
      <c r="BC8" s="6" t="n">
        <v>556039.9</v>
      </c>
      <c r="BD8" s="6" t="n">
        <v>857119.5</v>
      </c>
      <c r="BE8" s="6" t="n">
        <v>1207462.5</v>
      </c>
      <c r="BF8" s="6" t="n">
        <v>1595111.9</v>
      </c>
      <c r="BG8" s="6" t="n">
        <v>1910646.6</v>
      </c>
      <c r="BH8" s="6" t="n">
        <v>2284369</v>
      </c>
      <c r="BI8" s="6" t="n">
        <v>2691257.4</v>
      </c>
      <c r="BJ8" s="6" t="n">
        <v>3051173.2</v>
      </c>
      <c r="BK8" s="6" t="n">
        <v>3467624.1</v>
      </c>
      <c r="BL8" s="6" t="n">
        <v>3888416.5</v>
      </c>
      <c r="BM8" s="6" t="n">
        <v>4852736.5</v>
      </c>
      <c r="BN8" s="6" t="n">
        <v>314077.2</v>
      </c>
      <c r="BO8" s="6" t="n">
        <v>673476</v>
      </c>
      <c r="BP8" s="6" t="n">
        <v>1013806.7</v>
      </c>
      <c r="BQ8" s="6" t="n">
        <v>1425981.1</v>
      </c>
      <c r="BR8" s="6" t="n">
        <v>1738487</v>
      </c>
      <c r="BS8" s="6" t="n">
        <v>2318013.4</v>
      </c>
      <c r="BT8" s="6" t="n">
        <v>2742068</v>
      </c>
      <c r="BU8" s="6" t="n">
        <v>3162693.9</v>
      </c>
      <c r="BV8" s="6" t="n">
        <v>3579720.4</v>
      </c>
      <c r="BW8" s="6" t="n">
        <v>4049043.7</v>
      </c>
      <c r="BX8" s="6" t="n">
        <v>4500159.9</v>
      </c>
      <c r="BY8" s="6" t="n">
        <v>5584267.8</v>
      </c>
      <c r="BZ8" s="6" t="n">
        <v>347693.3</v>
      </c>
      <c r="CA8" s="6" t="n">
        <v>708497.9</v>
      </c>
      <c r="CB8" s="6" t="n">
        <v>743549</v>
      </c>
      <c r="CC8" s="6" t="n">
        <v>1689806.1</v>
      </c>
      <c r="CD8" s="6" t="n">
        <v>2191991.6</v>
      </c>
    </row>
    <row r="9" customFormat="false" ht="15.75" hidden="false" customHeight="true" outlineLevel="0" collapsed="false">
      <c r="A9" s="1" t="n">
        <v>1714</v>
      </c>
      <c r="B9" s="1" t="s">
        <v>110</v>
      </c>
      <c r="C9" s="1" t="s">
        <v>111</v>
      </c>
      <c r="D9" s="1" t="s">
        <v>112</v>
      </c>
      <c r="E9" s="1" t="s">
        <v>113</v>
      </c>
      <c r="F9" s="6" t="n">
        <v>123497.4</v>
      </c>
      <c r="G9" s="6" t="n">
        <v>347501</v>
      </c>
      <c r="H9" s="6" t="n">
        <v>479998.3</v>
      </c>
      <c r="I9" s="6" t="n">
        <v>860310</v>
      </c>
      <c r="J9" s="6" t="n">
        <v>1186465.7</v>
      </c>
      <c r="K9" s="6" t="n">
        <v>1484602.5</v>
      </c>
      <c r="L9" s="6" t="n">
        <v>2008415.7</v>
      </c>
      <c r="M9" s="6" t="n">
        <v>2191672.4</v>
      </c>
      <c r="N9" s="6" t="n">
        <v>2420466.8</v>
      </c>
      <c r="O9" s="6" t="n">
        <v>2867055.5</v>
      </c>
      <c r="P9" s="6" t="n">
        <v>3144804.2</v>
      </c>
      <c r="Q9" s="6" t="n">
        <v>3450087.9</v>
      </c>
      <c r="R9" s="6" t="n">
        <v>290539.4</v>
      </c>
      <c r="S9" s="6" t="n">
        <v>641877.8</v>
      </c>
      <c r="T9" s="6" t="n">
        <v>1106126.2</v>
      </c>
      <c r="U9" s="6" t="n">
        <v>1641932.7</v>
      </c>
      <c r="V9" s="6" t="n">
        <v>2129961.7</v>
      </c>
      <c r="W9" s="6" t="n">
        <v>2686799.7</v>
      </c>
      <c r="X9" s="6" t="n">
        <v>3247082</v>
      </c>
      <c r="Y9" s="6" t="n">
        <v>3841696.8</v>
      </c>
      <c r="Z9" s="6" t="n">
        <v>4270786.3</v>
      </c>
      <c r="AA9" s="6" t="n">
        <v>4989621.7</v>
      </c>
      <c r="AB9" s="6" t="n">
        <v>5647181.4</v>
      </c>
      <c r="AC9" s="6" t="n">
        <v>6461823.6</v>
      </c>
      <c r="AD9" s="6" t="n">
        <v>338865.1</v>
      </c>
      <c r="AE9" s="6" t="n">
        <v>817776.3</v>
      </c>
      <c r="AF9" s="6" t="n">
        <v>1365252.7</v>
      </c>
      <c r="AG9" s="6" t="n">
        <v>2147405</v>
      </c>
      <c r="AH9" s="6" t="n">
        <v>3063661.4</v>
      </c>
      <c r="AI9" s="6" t="n">
        <v>3695204.1</v>
      </c>
      <c r="AJ9" s="6" t="n">
        <v>4381407.5</v>
      </c>
      <c r="AK9" s="6" t="n">
        <v>5287122</v>
      </c>
      <c r="AL9" s="6" t="n">
        <v>6000296.9</v>
      </c>
      <c r="AM9" s="6" t="n">
        <v>6783782.4</v>
      </c>
      <c r="AN9" s="6" t="n">
        <v>7654843.7</v>
      </c>
      <c r="AO9" s="6" t="n">
        <v>9457737.8</v>
      </c>
      <c r="AP9" s="6" t="n">
        <v>397539.5</v>
      </c>
      <c r="AQ9" s="6" t="n">
        <v>950422.1</v>
      </c>
      <c r="AR9" s="6" t="n">
        <v>1671881.1</v>
      </c>
      <c r="AS9" s="6" t="n">
        <v>2409429.1</v>
      </c>
      <c r="AT9" s="6" t="n">
        <v>3711399.7</v>
      </c>
      <c r="AU9" s="6" t="n">
        <v>4653251.4</v>
      </c>
      <c r="AV9" s="6" t="n">
        <v>5336144.5</v>
      </c>
      <c r="AW9" s="6" t="n">
        <v>6703443.3</v>
      </c>
      <c r="AX9" s="6" t="n">
        <v>9785869.9</v>
      </c>
      <c r="AY9" s="6" t="n">
        <v>11166839.3</v>
      </c>
      <c r="AZ9" s="6" t="n">
        <v>9334388.8</v>
      </c>
      <c r="BA9" s="6" t="n">
        <v>11700472</v>
      </c>
      <c r="BB9" s="6" t="n">
        <v>1060198.3</v>
      </c>
      <c r="BC9" s="6" t="n">
        <v>2117858.3</v>
      </c>
      <c r="BD9" s="6" t="n">
        <v>3330531</v>
      </c>
      <c r="BE9" s="6" t="n">
        <v>4795162.3</v>
      </c>
      <c r="BF9" s="6" t="n">
        <v>6314328.4</v>
      </c>
      <c r="BG9" s="6" t="n">
        <v>7536219.9</v>
      </c>
      <c r="BH9" s="6" t="n">
        <v>8730452.9</v>
      </c>
      <c r="BI9" s="6" t="n">
        <v>10242536.3</v>
      </c>
      <c r="BJ9" s="6" t="n">
        <v>11649240.2</v>
      </c>
      <c r="BK9" s="6" t="n">
        <v>13243326.5</v>
      </c>
      <c r="BL9" s="6" t="n">
        <v>14928723.1</v>
      </c>
      <c r="BM9" s="6" t="n">
        <v>18548383.9</v>
      </c>
      <c r="BN9" s="6" t="n">
        <v>1214791.8</v>
      </c>
      <c r="BO9" s="6" t="n">
        <v>2522286.9</v>
      </c>
      <c r="BP9" s="6" t="n">
        <v>4003528.7</v>
      </c>
      <c r="BQ9" s="6" t="n">
        <v>5653870.2</v>
      </c>
      <c r="BR9" s="6" t="n">
        <v>7247733.6</v>
      </c>
      <c r="BS9" s="6" t="n">
        <v>9148027.7</v>
      </c>
      <c r="BT9" s="6" t="n">
        <v>10597127</v>
      </c>
      <c r="BU9" s="6" t="n">
        <v>12443145.2</v>
      </c>
      <c r="BV9" s="6" t="n">
        <v>14263052.2</v>
      </c>
      <c r="BW9" s="6" t="n">
        <v>15954000.7</v>
      </c>
      <c r="BX9" s="6" t="n">
        <v>17916761.7</v>
      </c>
      <c r="BY9" s="6" t="n">
        <v>22389808.9</v>
      </c>
      <c r="BZ9" s="6" t="n">
        <v>1423363.6</v>
      </c>
      <c r="CA9" s="6" t="n">
        <v>3279121.2</v>
      </c>
      <c r="CB9" s="6" t="n">
        <v>4971324.9</v>
      </c>
      <c r="CC9" s="6" t="n">
        <v>6136136.9</v>
      </c>
      <c r="CD9" s="6" t="n">
        <v>8152661.4</v>
      </c>
    </row>
    <row r="10" customFormat="false" ht="15.75" hidden="false" customHeight="true" outlineLevel="0" collapsed="false">
      <c r="A10" s="1" t="n">
        <v>1718</v>
      </c>
      <c r="B10" s="1" t="s">
        <v>114</v>
      </c>
      <c r="C10" s="1" t="s">
        <v>115</v>
      </c>
      <c r="D10" s="1" t="s">
        <v>116</v>
      </c>
      <c r="E10" s="1" t="s">
        <v>117</v>
      </c>
      <c r="F10" s="6" t="n">
        <v>452022.1</v>
      </c>
      <c r="G10" s="6" t="n">
        <v>959794.5</v>
      </c>
      <c r="H10" s="6" t="n">
        <v>1389901.9</v>
      </c>
      <c r="I10" s="6" t="n">
        <v>2267241.2</v>
      </c>
      <c r="J10" s="6" t="n">
        <v>2912132.2</v>
      </c>
      <c r="K10" s="6" t="n">
        <v>3453114.2</v>
      </c>
      <c r="L10" s="6" t="n">
        <v>3995177.7</v>
      </c>
      <c r="M10" s="6" t="n">
        <v>4745699.9</v>
      </c>
      <c r="N10" s="6" t="n">
        <v>5048952.1</v>
      </c>
      <c r="O10" s="6" t="n">
        <v>5763087.2</v>
      </c>
      <c r="P10" s="6" t="n">
        <v>6401480.3</v>
      </c>
      <c r="Q10" s="6" t="n">
        <v>6886257.1</v>
      </c>
      <c r="R10" s="6" t="n">
        <v>452526.2</v>
      </c>
      <c r="S10" s="6" t="n">
        <v>1018095.2</v>
      </c>
      <c r="T10" s="6" t="n">
        <v>1835205</v>
      </c>
      <c r="U10" s="6" t="n">
        <v>2537550.3</v>
      </c>
      <c r="V10" s="6" t="n">
        <v>3234537.1</v>
      </c>
      <c r="W10" s="6" t="n">
        <v>3975032.6</v>
      </c>
      <c r="X10" s="6" t="n">
        <v>4781510.8</v>
      </c>
      <c r="Y10" s="6" t="n">
        <v>5640636.2</v>
      </c>
      <c r="Z10" s="6" t="n">
        <v>6433970.2</v>
      </c>
      <c r="AA10" s="6" t="n">
        <v>7482788.7</v>
      </c>
      <c r="AB10" s="6" t="n">
        <v>8515606.8</v>
      </c>
      <c r="AC10" s="6" t="n">
        <v>9806773.7</v>
      </c>
      <c r="AD10" s="6" t="n">
        <v>452266.6</v>
      </c>
      <c r="AE10" s="6" t="n">
        <v>1131409.6</v>
      </c>
      <c r="AF10" s="6" t="n">
        <v>1947225.8</v>
      </c>
      <c r="AG10" s="6" t="n">
        <v>2852083.2</v>
      </c>
      <c r="AH10" s="6" t="n">
        <v>3855852</v>
      </c>
      <c r="AI10" s="6" t="n">
        <v>4824557.2</v>
      </c>
      <c r="AJ10" s="6" t="n">
        <v>5938975.2</v>
      </c>
      <c r="AK10" s="6" t="n">
        <v>6913358.3</v>
      </c>
      <c r="AL10" s="6" t="n">
        <v>7888893.7</v>
      </c>
      <c r="AM10" s="6" t="n">
        <v>9088334.6</v>
      </c>
      <c r="AN10" s="6" t="n">
        <v>10334676.2</v>
      </c>
      <c r="AO10" s="6" t="n">
        <v>12954120</v>
      </c>
      <c r="AP10" s="6" t="n">
        <v>582964.6</v>
      </c>
      <c r="AQ10" s="6" t="n">
        <v>1413002.7</v>
      </c>
      <c r="AR10" s="6" t="n">
        <v>2458546.7</v>
      </c>
      <c r="AS10" s="6" t="n">
        <v>3471598.3</v>
      </c>
      <c r="AT10" s="6" t="n">
        <v>4934056.5</v>
      </c>
      <c r="AU10" s="6" t="n">
        <v>6093686.1</v>
      </c>
      <c r="AV10" s="6" t="n">
        <v>7274971.8</v>
      </c>
      <c r="AW10" s="6" t="n">
        <v>10661456.5</v>
      </c>
      <c r="AX10" s="6" t="n">
        <v>13322360</v>
      </c>
      <c r="AY10" s="6" t="n">
        <v>15622857.7</v>
      </c>
      <c r="AZ10" s="6" t="n">
        <v>13609543.2</v>
      </c>
      <c r="BA10" s="6" t="n">
        <v>17107137.2</v>
      </c>
      <c r="BB10" s="6" t="n">
        <v>1488494.8</v>
      </c>
      <c r="BC10" s="6" t="n">
        <v>3245135.2</v>
      </c>
      <c r="BD10" s="6" t="n">
        <v>5074160.9</v>
      </c>
      <c r="BE10" s="6" t="n">
        <v>7149153</v>
      </c>
      <c r="BF10" s="6" t="n">
        <v>9326349.9</v>
      </c>
      <c r="BG10" s="6" t="n">
        <v>11340658.2</v>
      </c>
      <c r="BH10" s="6" t="n">
        <v>13254203.7</v>
      </c>
      <c r="BI10" s="6" t="n">
        <v>15580982.7</v>
      </c>
      <c r="BJ10" s="6" t="n">
        <v>17917985.5</v>
      </c>
      <c r="BK10" s="6" t="n">
        <v>20454623.3</v>
      </c>
      <c r="BL10" s="6" t="n">
        <v>22910110</v>
      </c>
      <c r="BM10" s="6" t="n">
        <v>27235625.9</v>
      </c>
      <c r="BN10" s="6" t="n">
        <v>1805610</v>
      </c>
      <c r="BO10" s="6" t="n">
        <v>3955184.7</v>
      </c>
      <c r="BP10" s="6" t="n">
        <v>5977990.8</v>
      </c>
      <c r="BQ10" s="6" t="n">
        <v>8165225.4</v>
      </c>
      <c r="BR10" s="6" t="n">
        <v>10442355.7</v>
      </c>
      <c r="BS10" s="6" t="n">
        <v>13547751.2</v>
      </c>
      <c r="BT10" s="6" t="n">
        <v>16019843.8</v>
      </c>
      <c r="BU10" s="6" t="n">
        <v>18900825.2</v>
      </c>
      <c r="BV10" s="6" t="n">
        <v>21847990.1</v>
      </c>
      <c r="BW10" s="6" t="n">
        <v>24763006.4</v>
      </c>
      <c r="BX10" s="6" t="n">
        <v>27779060.8</v>
      </c>
      <c r="BY10" s="6" t="n">
        <v>33312846.2</v>
      </c>
      <c r="BZ10" s="6" t="n">
        <v>2268737</v>
      </c>
      <c r="CA10" s="6" t="n">
        <v>5076070.7</v>
      </c>
      <c r="CB10" s="6" t="n">
        <v>7610432</v>
      </c>
      <c r="CC10" s="6" t="n">
        <v>9841704.7</v>
      </c>
      <c r="CD10" s="6" t="n">
        <v>12386400.2</v>
      </c>
    </row>
    <row r="11" customFormat="false" ht="15.75" hidden="false" customHeight="true" outlineLevel="0" collapsed="false">
      <c r="A11" s="1" t="n">
        <v>1722</v>
      </c>
      <c r="B11" s="1" t="s">
        <v>118</v>
      </c>
      <c r="C11" s="1" t="s">
        <v>119</v>
      </c>
      <c r="D11" s="1" t="s">
        <v>120</v>
      </c>
      <c r="E11" s="1" t="s">
        <v>121</v>
      </c>
      <c r="F11" s="6" t="n">
        <v>182206.2</v>
      </c>
      <c r="G11" s="6" t="n">
        <v>420753.6</v>
      </c>
      <c r="H11" s="6" t="n">
        <v>640848</v>
      </c>
      <c r="I11" s="6" t="n">
        <v>909040.1</v>
      </c>
      <c r="J11" s="6" t="n">
        <v>1134725.5</v>
      </c>
      <c r="K11" s="6" t="n">
        <v>1378456.1</v>
      </c>
      <c r="L11" s="6" t="n">
        <v>1490242.7</v>
      </c>
      <c r="M11" s="6" t="n">
        <v>1704810.7</v>
      </c>
      <c r="N11" s="6" t="n">
        <v>1887815.6</v>
      </c>
      <c r="O11" s="6" t="n">
        <v>2326220.4</v>
      </c>
      <c r="P11" s="6" t="n">
        <v>2652498.4</v>
      </c>
      <c r="Q11" s="6" t="n">
        <v>2979626.6</v>
      </c>
      <c r="R11" s="6" t="n">
        <v>164251.3</v>
      </c>
      <c r="S11" s="6" t="n">
        <v>365256.9</v>
      </c>
      <c r="T11" s="6" t="n">
        <v>602591.3</v>
      </c>
      <c r="U11" s="6" t="n">
        <v>851552</v>
      </c>
      <c r="V11" s="6" t="n">
        <v>1108942.8</v>
      </c>
      <c r="W11" s="6" t="n">
        <v>1467150.1</v>
      </c>
      <c r="X11" s="6" t="n">
        <v>1771706.3</v>
      </c>
      <c r="Y11" s="6" t="n">
        <v>2214290</v>
      </c>
      <c r="Z11" s="6" t="n">
        <v>2495154.1</v>
      </c>
      <c r="AA11" s="6" t="n">
        <v>2820640.7</v>
      </c>
      <c r="AB11" s="6" t="n">
        <v>3218649.4</v>
      </c>
      <c r="AC11" s="6" t="n">
        <v>3557744.5</v>
      </c>
      <c r="AD11" s="6" t="n">
        <v>191607.1</v>
      </c>
      <c r="AE11" s="6" t="n">
        <v>425733.2</v>
      </c>
      <c r="AF11" s="6" t="n">
        <v>718733.8</v>
      </c>
      <c r="AG11" s="6" t="n">
        <v>1048923.8</v>
      </c>
      <c r="AH11" s="6" t="n">
        <v>1646750.8</v>
      </c>
      <c r="AI11" s="6" t="n">
        <v>2041819.9</v>
      </c>
      <c r="AJ11" s="6" t="n">
        <v>2452367</v>
      </c>
      <c r="AK11" s="6" t="n">
        <v>2939339.9</v>
      </c>
      <c r="AL11" s="6" t="n">
        <v>3390160.6</v>
      </c>
      <c r="AM11" s="6" t="n">
        <v>4113962.9</v>
      </c>
      <c r="AN11" s="6" t="n">
        <v>4619493.2</v>
      </c>
      <c r="AO11" s="6" t="n">
        <v>5767057.5</v>
      </c>
      <c r="AP11" s="6" t="n">
        <v>198208.9</v>
      </c>
      <c r="AQ11" s="6" t="n">
        <v>448827.2</v>
      </c>
      <c r="AR11" s="6" t="n">
        <v>803390.7</v>
      </c>
      <c r="AS11" s="6" t="n">
        <v>1148279.9</v>
      </c>
      <c r="AT11" s="6" t="n">
        <v>1872385.4</v>
      </c>
      <c r="AU11" s="6" t="n">
        <v>2550512</v>
      </c>
      <c r="AV11" s="6" t="n">
        <v>2967230</v>
      </c>
      <c r="AW11" s="6" t="n">
        <v>3486433.6</v>
      </c>
      <c r="AX11" s="6" t="n">
        <v>5816578.8</v>
      </c>
      <c r="AY11" s="6" t="n">
        <v>6770753.8</v>
      </c>
      <c r="AZ11" s="6" t="n">
        <v>5348472.9</v>
      </c>
      <c r="BA11" s="6" t="n">
        <v>6724312.3</v>
      </c>
      <c r="BB11" s="6" t="n">
        <v>599302.1</v>
      </c>
      <c r="BC11" s="6" t="n">
        <v>1241451.7</v>
      </c>
      <c r="BD11" s="6" t="n">
        <v>1972309.4</v>
      </c>
      <c r="BE11" s="6" t="n">
        <v>2782231.4</v>
      </c>
      <c r="BF11" s="6" t="n">
        <v>3663145.3</v>
      </c>
      <c r="BG11" s="6" t="n">
        <v>4151818.2</v>
      </c>
      <c r="BH11" s="6" t="n">
        <v>4803620</v>
      </c>
      <c r="BI11" s="6" t="n">
        <v>5657462.9</v>
      </c>
      <c r="BJ11" s="6" t="n">
        <v>6494188</v>
      </c>
      <c r="BK11" s="6" t="n">
        <v>7403447.7</v>
      </c>
      <c r="BL11" s="6" t="n">
        <v>8296491.4</v>
      </c>
      <c r="BM11" s="6" t="n">
        <v>10969382.9</v>
      </c>
      <c r="BN11" s="6" t="n">
        <v>670905.3</v>
      </c>
      <c r="BO11" s="6" t="n">
        <v>1423412.9</v>
      </c>
      <c r="BP11" s="6" t="n">
        <v>2226894.3</v>
      </c>
      <c r="BQ11" s="6" t="n">
        <v>3087564.2</v>
      </c>
      <c r="BR11" s="6" t="n">
        <v>3610981.3</v>
      </c>
      <c r="BS11" s="6" t="n">
        <v>4917476.2</v>
      </c>
      <c r="BT11" s="6" t="n">
        <v>5607672.8</v>
      </c>
      <c r="BU11" s="6" t="n">
        <v>6565937.4</v>
      </c>
      <c r="BV11" s="6" t="n">
        <v>7549985.8</v>
      </c>
      <c r="BW11" s="6" t="n">
        <v>8530991.8</v>
      </c>
      <c r="BX11" s="6" t="n">
        <v>9599133.9</v>
      </c>
      <c r="BY11" s="6" t="n">
        <v>11840977</v>
      </c>
      <c r="BZ11" s="6" t="n">
        <v>699940.5</v>
      </c>
      <c r="CA11" s="6" t="n">
        <v>1464593.9</v>
      </c>
      <c r="CB11" s="6" t="n">
        <v>1820020.5</v>
      </c>
      <c r="CC11" s="6" t="n">
        <v>3095137.5</v>
      </c>
      <c r="CD11" s="6" t="n">
        <v>4133256.7</v>
      </c>
    </row>
    <row r="12" customFormat="false" ht="15.75" hidden="false" customHeight="true" outlineLevel="0" collapsed="false">
      <c r="A12" s="1" t="n">
        <v>1724</v>
      </c>
      <c r="B12" s="1" t="s">
        <v>122</v>
      </c>
      <c r="C12" s="1" t="s">
        <v>123</v>
      </c>
      <c r="D12" s="1" t="s">
        <v>124</v>
      </c>
      <c r="E12" s="1" t="s">
        <v>125</v>
      </c>
      <c r="F12" s="6" t="n">
        <v>106286.2</v>
      </c>
      <c r="G12" s="6" t="n">
        <v>211184.1</v>
      </c>
      <c r="H12" s="6" t="n">
        <v>316917.5</v>
      </c>
      <c r="I12" s="6" t="n">
        <v>628918.3</v>
      </c>
      <c r="J12" s="6" t="n">
        <v>727406.2</v>
      </c>
      <c r="K12" s="6" t="n">
        <v>956519.1</v>
      </c>
      <c r="L12" s="6" t="n">
        <v>1059394</v>
      </c>
      <c r="M12" s="6" t="n">
        <v>1281122.8</v>
      </c>
      <c r="N12" s="6" t="n">
        <v>1448858.4</v>
      </c>
      <c r="O12" s="6" t="n">
        <v>1621187.1</v>
      </c>
      <c r="P12" s="6" t="n">
        <v>1841203.1</v>
      </c>
      <c r="Q12" s="6" t="n">
        <v>2049244.2</v>
      </c>
      <c r="R12" s="6" t="n">
        <v>105322.4</v>
      </c>
      <c r="S12" s="6" t="n">
        <v>236564.6</v>
      </c>
      <c r="T12" s="6" t="n">
        <v>399383.3</v>
      </c>
      <c r="U12" s="6" t="n">
        <v>589505.8</v>
      </c>
      <c r="V12" s="6" t="n">
        <v>780292.8</v>
      </c>
      <c r="W12" s="6" t="n">
        <v>986004.5</v>
      </c>
      <c r="X12" s="6" t="n">
        <v>1195774.5</v>
      </c>
      <c r="Y12" s="6" t="n">
        <v>1422870.4</v>
      </c>
      <c r="Z12" s="6" t="n">
        <v>1615966.8</v>
      </c>
      <c r="AA12" s="6" t="n">
        <v>1856599.9</v>
      </c>
      <c r="AB12" s="6" t="n">
        <v>2149759.1</v>
      </c>
      <c r="AC12" s="6" t="n">
        <v>2506060.3</v>
      </c>
      <c r="AD12" s="6" t="n">
        <v>106991.6</v>
      </c>
      <c r="AE12" s="6" t="n">
        <v>269045.4</v>
      </c>
      <c r="AF12" s="6" t="n">
        <v>456755.1</v>
      </c>
      <c r="AG12" s="6" t="n">
        <v>669140.3</v>
      </c>
      <c r="AH12" s="6" t="n">
        <v>1009355.4</v>
      </c>
      <c r="AI12" s="6" t="n">
        <v>1133778.6</v>
      </c>
      <c r="AJ12" s="6" t="n">
        <v>1404245.1</v>
      </c>
      <c r="AK12" s="6" t="n">
        <v>1666291.9</v>
      </c>
      <c r="AL12" s="6" t="n">
        <v>1899975.3</v>
      </c>
      <c r="AM12" s="6" t="n">
        <v>2351228.7</v>
      </c>
      <c r="AN12" s="6" t="n">
        <v>2812994.6</v>
      </c>
      <c r="AO12" s="6" t="n">
        <v>3530745</v>
      </c>
      <c r="AP12" s="6" t="n">
        <v>90516.1</v>
      </c>
      <c r="AQ12" s="6" t="n">
        <v>262662.3</v>
      </c>
      <c r="AR12" s="6" t="n">
        <v>495843</v>
      </c>
      <c r="AS12" s="6" t="n">
        <v>734146</v>
      </c>
      <c r="AT12" s="6" t="n">
        <v>1198199.5</v>
      </c>
      <c r="AU12" s="6" t="n">
        <v>1515983.1</v>
      </c>
      <c r="AV12" s="6" t="n">
        <v>1766658.4</v>
      </c>
      <c r="AW12" s="6" t="n">
        <v>2583838.1</v>
      </c>
      <c r="AX12" s="6" t="n">
        <v>3634660.5</v>
      </c>
      <c r="AY12" s="6" t="n">
        <v>4117161.3</v>
      </c>
      <c r="AZ12" s="6" t="n">
        <v>3303971.4</v>
      </c>
      <c r="BA12" s="6" t="n">
        <v>4153559.8</v>
      </c>
      <c r="BB12" s="6" t="n">
        <v>368827.6</v>
      </c>
      <c r="BC12" s="6" t="n">
        <v>767149.2</v>
      </c>
      <c r="BD12" s="6" t="n">
        <v>1203775.9</v>
      </c>
      <c r="BE12" s="6" t="n">
        <v>1652461.3</v>
      </c>
      <c r="BF12" s="6" t="n">
        <v>2179899.5</v>
      </c>
      <c r="BG12" s="6" t="n">
        <v>2729916.4</v>
      </c>
      <c r="BH12" s="6" t="n">
        <v>3158604.1</v>
      </c>
      <c r="BI12" s="6" t="n">
        <v>3700280.4</v>
      </c>
      <c r="BJ12" s="6" t="n">
        <v>4247985</v>
      </c>
      <c r="BK12" s="6" t="n">
        <v>4860386.1</v>
      </c>
      <c r="BL12" s="6" t="n">
        <v>5467773.7</v>
      </c>
      <c r="BM12" s="6" t="n">
        <v>6671402.6</v>
      </c>
      <c r="BN12" s="6" t="n">
        <v>418932.9</v>
      </c>
      <c r="BO12" s="6" t="n">
        <v>950074.4</v>
      </c>
      <c r="BP12" s="6" t="n">
        <v>1433115.1</v>
      </c>
      <c r="BQ12" s="6" t="n">
        <v>1956883.3</v>
      </c>
      <c r="BR12" s="6" t="n">
        <v>2562768.3</v>
      </c>
      <c r="BS12" s="6" t="n">
        <v>3267081.2</v>
      </c>
      <c r="BT12" s="6" t="n">
        <v>3793371</v>
      </c>
      <c r="BU12" s="6" t="n">
        <v>4425533.8</v>
      </c>
      <c r="BV12" s="6" t="n">
        <v>5118217.9</v>
      </c>
      <c r="BW12" s="6" t="n">
        <v>5829838.3</v>
      </c>
      <c r="BX12" s="6" t="n">
        <v>6495963.6</v>
      </c>
      <c r="BY12" s="6" t="n">
        <v>8062852.5</v>
      </c>
      <c r="BZ12" s="6" t="n">
        <v>477290.2</v>
      </c>
      <c r="CA12" s="6" t="n">
        <v>1045465.2</v>
      </c>
      <c r="CB12" s="6" t="n">
        <v>1280202.4</v>
      </c>
      <c r="CC12" s="6" t="n">
        <v>2177302.3</v>
      </c>
      <c r="CD12" s="6" t="n">
        <v>2884880.6</v>
      </c>
    </row>
    <row r="13" customFormat="false" ht="15.75" hidden="false" customHeight="true" outlineLevel="0" collapsed="false">
      <c r="A13" s="1" t="n">
        <v>1727</v>
      </c>
      <c r="B13" s="1" t="s">
        <v>126</v>
      </c>
      <c r="C13" s="1" t="s">
        <v>127</v>
      </c>
      <c r="D13" s="1" t="s">
        <v>128</v>
      </c>
      <c r="E13" s="1" t="s">
        <v>129</v>
      </c>
      <c r="F13" s="6" t="n">
        <v>647837.2</v>
      </c>
      <c r="G13" s="6" t="n">
        <v>1288631.8</v>
      </c>
      <c r="H13" s="6" t="n">
        <v>1839902.3</v>
      </c>
      <c r="I13" s="6" t="n">
        <v>3014879.8</v>
      </c>
      <c r="J13" s="6" t="n">
        <v>3684739.8</v>
      </c>
      <c r="K13" s="6" t="n">
        <v>4421391.7</v>
      </c>
      <c r="L13" s="6" t="n">
        <v>4920582</v>
      </c>
      <c r="M13" s="6" t="n">
        <v>5538501.7</v>
      </c>
      <c r="N13" s="6" t="n">
        <v>6220994.8</v>
      </c>
      <c r="O13" s="6" t="n">
        <v>7037344.2</v>
      </c>
      <c r="P13" s="6" t="n">
        <v>8219683.6</v>
      </c>
      <c r="Q13" s="6" t="n">
        <v>9544531.5</v>
      </c>
      <c r="R13" s="6" t="n">
        <v>646246.2</v>
      </c>
      <c r="S13" s="6" t="n">
        <v>1375019.1</v>
      </c>
      <c r="T13" s="6" t="n">
        <v>2239177.3</v>
      </c>
      <c r="U13" s="6" t="n">
        <v>3212302.1</v>
      </c>
      <c r="V13" s="6" t="n">
        <v>4284631.7</v>
      </c>
      <c r="W13" s="6" t="n">
        <v>5444755.3</v>
      </c>
      <c r="X13" s="6" t="n">
        <v>6644812.5</v>
      </c>
      <c r="Y13" s="6" t="n">
        <v>7960131.1</v>
      </c>
      <c r="Z13" s="6" t="n">
        <v>9188664.6</v>
      </c>
      <c r="AA13" s="6" t="n">
        <v>10441626.7</v>
      </c>
      <c r="AB13" s="6" t="n">
        <v>11908723.5</v>
      </c>
      <c r="AC13" s="6" t="n">
        <v>13810648.7</v>
      </c>
      <c r="AD13" s="6" t="n">
        <v>657386.8</v>
      </c>
      <c r="AE13" s="6" t="n">
        <v>1587387.8</v>
      </c>
      <c r="AF13" s="6" t="n">
        <v>2582363.6</v>
      </c>
      <c r="AG13" s="6" t="n">
        <v>3949561.5</v>
      </c>
      <c r="AH13" s="6" t="n">
        <v>7933349.4</v>
      </c>
      <c r="AI13" s="6" t="n">
        <v>7020080.1</v>
      </c>
      <c r="AJ13" s="6" t="n">
        <v>8467595.7</v>
      </c>
      <c r="AK13" s="6" t="n">
        <v>10159399</v>
      </c>
      <c r="AL13" s="6" t="n">
        <v>11618810.9</v>
      </c>
      <c r="AM13" s="6" t="n">
        <v>18404416</v>
      </c>
      <c r="AN13" s="6" t="n">
        <v>20803953.1</v>
      </c>
      <c r="AO13" s="6" t="n">
        <v>25982338.1</v>
      </c>
      <c r="AP13" s="6" t="n">
        <v>984538.7</v>
      </c>
      <c r="AQ13" s="6" t="n">
        <v>2225016.6</v>
      </c>
      <c r="AR13" s="6" t="n">
        <v>3343616.5</v>
      </c>
      <c r="AS13" s="6" t="n">
        <v>4615138.6</v>
      </c>
      <c r="AT13" s="6" t="n">
        <v>9766434.3</v>
      </c>
      <c r="AU13" s="6" t="n">
        <v>12139122.4</v>
      </c>
      <c r="AV13" s="6" t="n">
        <v>13896944.9</v>
      </c>
      <c r="AW13" s="6" t="n">
        <v>19010592.9</v>
      </c>
      <c r="AX13" s="6" t="n">
        <v>26614671</v>
      </c>
      <c r="AY13" s="6" t="n">
        <v>30404410.7</v>
      </c>
      <c r="AZ13" s="6" t="n">
        <v>24655560.9</v>
      </c>
      <c r="BA13" s="6" t="n">
        <v>30256930.3</v>
      </c>
      <c r="BB13" s="6" t="n">
        <v>3032182.3</v>
      </c>
      <c r="BC13" s="6" t="n">
        <v>5966619.6</v>
      </c>
      <c r="BD13" s="6" t="n">
        <v>9372562.6</v>
      </c>
      <c r="BE13" s="6" t="n">
        <v>13371837</v>
      </c>
      <c r="BF13" s="6" t="n">
        <v>17525564.4</v>
      </c>
      <c r="BG13" s="6" t="n">
        <v>21262819.9</v>
      </c>
      <c r="BH13" s="6" t="n">
        <v>24799691</v>
      </c>
      <c r="BI13" s="6" t="n">
        <v>28916119.8</v>
      </c>
      <c r="BJ13" s="6" t="n">
        <v>33291417.5</v>
      </c>
      <c r="BK13" s="6" t="n">
        <v>37960573.2</v>
      </c>
      <c r="BL13" s="6" t="n">
        <v>42581310.1</v>
      </c>
      <c r="BM13" s="6" t="n">
        <v>52714451.7</v>
      </c>
      <c r="BN13" s="6" t="n">
        <v>3644673.3</v>
      </c>
      <c r="BO13" s="6" t="n">
        <v>7287331</v>
      </c>
      <c r="BP13" s="6" t="n">
        <v>11269264</v>
      </c>
      <c r="BQ13" s="6" t="n">
        <v>15762957.6</v>
      </c>
      <c r="BR13" s="6" t="n">
        <v>20294933.8</v>
      </c>
      <c r="BS13" s="6" t="n">
        <v>25748279.7</v>
      </c>
      <c r="BT13" s="6" t="n">
        <v>29411439</v>
      </c>
      <c r="BU13" s="6" t="n">
        <v>34715055.9</v>
      </c>
      <c r="BV13" s="6" t="n">
        <v>39977720.9</v>
      </c>
      <c r="BW13" s="6" t="n">
        <v>45691398.4</v>
      </c>
      <c r="BX13" s="6" t="n">
        <v>50981893.7</v>
      </c>
      <c r="BY13" s="6" t="n">
        <v>64336946.2</v>
      </c>
      <c r="BZ13" s="6" t="n">
        <v>4328210.4</v>
      </c>
      <c r="CA13" s="6" t="n">
        <v>8597593.1</v>
      </c>
      <c r="CB13" s="6" t="n">
        <v>14598253</v>
      </c>
      <c r="CC13" s="6" t="n">
        <v>18671722.7</v>
      </c>
      <c r="CD13" s="6" t="n">
        <v>23085507</v>
      </c>
    </row>
    <row r="14" customFormat="false" ht="15.75" hidden="false" customHeight="true" outlineLevel="0" collapsed="false">
      <c r="A14" s="1" t="n">
        <v>1730</v>
      </c>
      <c r="B14" s="1" t="s">
        <v>130</v>
      </c>
      <c r="C14" s="1" t="s">
        <v>131</v>
      </c>
      <c r="D14" s="1" t="s">
        <v>132</v>
      </c>
      <c r="E14" s="1" t="s">
        <v>133</v>
      </c>
      <c r="F14" s="6" t="n">
        <v>412576</v>
      </c>
      <c r="G14" s="6" t="n">
        <v>837052</v>
      </c>
      <c r="H14" s="6" t="n">
        <v>1259472</v>
      </c>
      <c r="I14" s="6" t="n">
        <v>2114634.9</v>
      </c>
      <c r="J14" s="6" t="n">
        <v>2506117.1</v>
      </c>
      <c r="K14" s="6" t="n">
        <v>3047061.1</v>
      </c>
      <c r="L14" s="6" t="n">
        <v>3486559.4</v>
      </c>
      <c r="M14" s="6" t="n">
        <v>3949194.7</v>
      </c>
      <c r="N14" s="6" t="n">
        <v>4380477.3</v>
      </c>
      <c r="O14" s="6" t="n">
        <v>4935865.5</v>
      </c>
      <c r="P14" s="6" t="n">
        <v>5514814</v>
      </c>
      <c r="Q14" s="6" t="n">
        <v>6709422</v>
      </c>
      <c r="R14" s="6" t="n">
        <v>457811.8</v>
      </c>
      <c r="S14" s="6" t="n">
        <v>1021729.3</v>
      </c>
      <c r="T14" s="6" t="n">
        <v>1743690</v>
      </c>
      <c r="U14" s="6" t="n">
        <v>2481760.2</v>
      </c>
      <c r="V14" s="6" t="n">
        <v>3228158.2</v>
      </c>
      <c r="W14" s="6" t="n">
        <v>4053376.4</v>
      </c>
      <c r="X14" s="6" t="n">
        <v>4966459</v>
      </c>
      <c r="Y14" s="6" t="n">
        <v>5911713.8</v>
      </c>
      <c r="Z14" s="6" t="n">
        <v>6737743.4</v>
      </c>
      <c r="AA14" s="6" t="n">
        <v>7553611.6</v>
      </c>
      <c r="AB14" s="6" t="n">
        <v>8644916.6</v>
      </c>
      <c r="AC14" s="6" t="n">
        <v>10157000.2</v>
      </c>
      <c r="AD14" s="6" t="n">
        <v>495531.5</v>
      </c>
      <c r="AE14" s="6" t="n">
        <v>1198544.8</v>
      </c>
      <c r="AF14" s="6" t="n">
        <v>2039505.8</v>
      </c>
      <c r="AG14" s="6" t="n">
        <v>2861434</v>
      </c>
      <c r="AH14" s="6" t="n">
        <v>4794012.7</v>
      </c>
      <c r="AI14" s="6" t="n">
        <v>4900140.6</v>
      </c>
      <c r="AJ14" s="6" t="n">
        <v>6050107.8</v>
      </c>
      <c r="AK14" s="6" t="n">
        <v>7317682.1</v>
      </c>
      <c r="AL14" s="6" t="n">
        <v>8305038.6</v>
      </c>
      <c r="AM14" s="6" t="n">
        <v>10973979.7</v>
      </c>
      <c r="AN14" s="6" t="n">
        <v>12485195.8</v>
      </c>
      <c r="AO14" s="6" t="n">
        <v>15988074.9</v>
      </c>
      <c r="AP14" s="6" t="n">
        <v>567284.9</v>
      </c>
      <c r="AQ14" s="6" t="n">
        <v>1339796.5</v>
      </c>
      <c r="AR14" s="6" t="n">
        <v>2375930.6</v>
      </c>
      <c r="AS14" s="6" t="n">
        <v>3348343.5</v>
      </c>
      <c r="AT14" s="6" t="n">
        <v>5905212.8</v>
      </c>
      <c r="AU14" s="6" t="n">
        <v>7397639.4</v>
      </c>
      <c r="AV14" s="6" t="n">
        <v>8464438.5</v>
      </c>
      <c r="AW14" s="6" t="n">
        <v>10234512.8</v>
      </c>
      <c r="AX14" s="6" t="n">
        <v>13435168.6</v>
      </c>
      <c r="AY14" s="6" t="n">
        <v>15402269.9</v>
      </c>
      <c r="AZ14" s="6" t="n">
        <v>15111710.8</v>
      </c>
      <c r="BA14" s="6" t="n">
        <v>19343631.3</v>
      </c>
      <c r="BB14" s="6" t="n">
        <v>1415891.2</v>
      </c>
      <c r="BC14" s="6" t="n">
        <v>3195090.4</v>
      </c>
      <c r="BD14" s="6" t="n">
        <v>5176906.8</v>
      </c>
      <c r="BE14" s="6" t="n">
        <v>6623829.8</v>
      </c>
      <c r="BF14" s="6" t="n">
        <v>8681476.9</v>
      </c>
      <c r="BG14" s="6" t="n">
        <v>10780468</v>
      </c>
      <c r="BH14" s="6" t="n">
        <v>12432546.7</v>
      </c>
      <c r="BI14" s="6" t="n">
        <v>14550066.8</v>
      </c>
      <c r="BJ14" s="6" t="n">
        <v>16686330.8</v>
      </c>
      <c r="BK14" s="6" t="n">
        <v>19052163</v>
      </c>
      <c r="BL14" s="6" t="n">
        <v>21421735.6</v>
      </c>
      <c r="BM14" s="6" t="n">
        <v>25732313.9</v>
      </c>
      <c r="BN14" s="6" t="n">
        <v>1663272.8</v>
      </c>
      <c r="BO14" s="6" t="n">
        <v>3679892.4</v>
      </c>
      <c r="BP14" s="6" t="n">
        <v>5698419.5</v>
      </c>
      <c r="BQ14" s="6" t="n">
        <v>7598195</v>
      </c>
      <c r="BR14" s="6" t="n">
        <v>9957518</v>
      </c>
      <c r="BS14" s="6" t="n">
        <v>12619039.4</v>
      </c>
      <c r="BT14" s="6" t="n">
        <v>14713684.6</v>
      </c>
      <c r="BU14" s="6" t="n">
        <v>17327066.7</v>
      </c>
      <c r="BV14" s="6" t="n">
        <v>19993533.2</v>
      </c>
      <c r="BW14" s="6" t="n">
        <v>22912700</v>
      </c>
      <c r="BX14" s="6" t="n">
        <v>25656091.3</v>
      </c>
      <c r="BY14" s="6" t="n">
        <v>31763215.7</v>
      </c>
      <c r="BZ14" s="6" t="n">
        <v>1966533.7</v>
      </c>
      <c r="CA14" s="6" t="n">
        <v>4973217.3</v>
      </c>
      <c r="CB14" s="6" t="n">
        <v>9589710.9</v>
      </c>
      <c r="CC14" s="6" t="n">
        <v>10172153.1</v>
      </c>
      <c r="CD14" s="6" t="n">
        <v>12564228.2</v>
      </c>
    </row>
    <row r="15" customFormat="false" ht="15.75" hidden="false" customHeight="true" outlineLevel="0" collapsed="false">
      <c r="A15" s="1" t="n">
        <v>1733</v>
      </c>
      <c r="B15" s="1" t="s">
        <v>134</v>
      </c>
      <c r="C15" s="1" t="s">
        <v>135</v>
      </c>
      <c r="D15" s="1" t="s">
        <v>136</v>
      </c>
      <c r="E15" s="1" t="s">
        <v>137</v>
      </c>
      <c r="F15" s="6" t="n">
        <v>118160.3</v>
      </c>
      <c r="G15" s="6" t="n">
        <v>256885.9</v>
      </c>
      <c r="H15" s="6" t="n">
        <v>380559.5</v>
      </c>
      <c r="I15" s="6" t="n">
        <v>737465.7</v>
      </c>
      <c r="J15" s="6" t="n">
        <v>919007.2</v>
      </c>
      <c r="K15" s="6" t="n">
        <v>1088025.9</v>
      </c>
      <c r="L15" s="6" t="n">
        <v>1215661.8</v>
      </c>
      <c r="M15" s="6" t="n">
        <v>1358699.6</v>
      </c>
      <c r="N15" s="6" t="n">
        <v>1667545.5</v>
      </c>
      <c r="O15" s="6" t="n">
        <v>1947151.7</v>
      </c>
      <c r="P15" s="6" t="n">
        <v>2185362.1</v>
      </c>
      <c r="Q15" s="6" t="n">
        <v>2500704.3</v>
      </c>
      <c r="R15" s="6" t="n">
        <v>180020.9</v>
      </c>
      <c r="S15" s="6" t="n">
        <v>406004.5</v>
      </c>
      <c r="T15" s="6" t="n">
        <v>677611.1</v>
      </c>
      <c r="U15" s="6" t="n">
        <v>1038569.9</v>
      </c>
      <c r="V15" s="6" t="n">
        <v>1371426.5</v>
      </c>
      <c r="W15" s="6" t="n">
        <v>1719701.1</v>
      </c>
      <c r="X15" s="6" t="n">
        <v>2140121.5</v>
      </c>
      <c r="Y15" s="6" t="n">
        <v>2508923.8</v>
      </c>
      <c r="Z15" s="6" t="n">
        <v>2832110</v>
      </c>
      <c r="AA15" s="6" t="n">
        <v>3190334.3</v>
      </c>
      <c r="AB15" s="6" t="n">
        <v>3635410.3</v>
      </c>
      <c r="AC15" s="6" t="n">
        <v>3983083.8</v>
      </c>
      <c r="AD15" s="6" t="n">
        <v>204672.7</v>
      </c>
      <c r="AE15" s="6" t="n">
        <v>483056.1</v>
      </c>
      <c r="AF15" s="6" t="n">
        <v>822957.6</v>
      </c>
      <c r="AG15" s="6" t="n">
        <v>1364747.3</v>
      </c>
      <c r="AH15" s="6" t="n">
        <v>1930295.3</v>
      </c>
      <c r="AI15" s="6" t="n">
        <v>2302975.5</v>
      </c>
      <c r="AJ15" s="6" t="n">
        <v>2695630.3</v>
      </c>
      <c r="AK15" s="6" t="n">
        <v>3184157.3</v>
      </c>
      <c r="AL15" s="6" t="n">
        <v>3571666.9</v>
      </c>
      <c r="AM15" s="6" t="n">
        <v>4410402.7</v>
      </c>
      <c r="AN15" s="6" t="n">
        <v>4954269.6</v>
      </c>
      <c r="AO15" s="6" t="n">
        <v>6053313.3</v>
      </c>
      <c r="AP15" s="6" t="n">
        <v>209727.1</v>
      </c>
      <c r="AQ15" s="6" t="n">
        <v>514036.6</v>
      </c>
      <c r="AR15" s="6" t="n">
        <v>905221.9</v>
      </c>
      <c r="AS15" s="6" t="n">
        <v>1513398.3</v>
      </c>
      <c r="AT15" s="6" t="n">
        <v>2265229.6</v>
      </c>
      <c r="AU15" s="6" t="n">
        <v>2903341.8</v>
      </c>
      <c r="AV15" s="6" t="n">
        <v>3333256.1</v>
      </c>
      <c r="AW15" s="6" t="n">
        <v>3969139.9</v>
      </c>
      <c r="AX15" s="6" t="n">
        <v>4868722.9</v>
      </c>
      <c r="AY15" s="6" t="n">
        <v>5549248</v>
      </c>
      <c r="AZ15" s="6" t="n">
        <v>5794726.8</v>
      </c>
      <c r="BA15" s="6" t="n">
        <v>7186244.9</v>
      </c>
      <c r="BB15" s="6" t="n">
        <v>501787.2</v>
      </c>
      <c r="BC15" s="6" t="n">
        <v>1088754.1</v>
      </c>
      <c r="BD15" s="6" t="n">
        <v>1713575.3</v>
      </c>
      <c r="BE15" s="6" t="n">
        <v>2265895</v>
      </c>
      <c r="BF15" s="6" t="n">
        <v>2972554</v>
      </c>
      <c r="BG15" s="6" t="n">
        <v>3745713.4</v>
      </c>
      <c r="BH15" s="6" t="n">
        <v>4325269.6</v>
      </c>
      <c r="BI15" s="6" t="n">
        <v>5051250.6</v>
      </c>
      <c r="BJ15" s="6" t="n">
        <v>5809874</v>
      </c>
      <c r="BK15" s="6" t="n">
        <v>6643417.5</v>
      </c>
      <c r="BL15" s="6" t="n">
        <v>7487220.6</v>
      </c>
      <c r="BM15" s="6" t="n">
        <v>9032992.2</v>
      </c>
      <c r="BN15" s="6" t="n">
        <v>587042.6</v>
      </c>
      <c r="BO15" s="6" t="n">
        <v>1237596.2</v>
      </c>
      <c r="BP15" s="6" t="n">
        <v>1921677.8</v>
      </c>
      <c r="BQ15" s="6" t="n">
        <v>2580409.9</v>
      </c>
      <c r="BR15" s="6" t="n">
        <v>3379231.8</v>
      </c>
      <c r="BS15" s="6" t="n">
        <v>4267683.6</v>
      </c>
      <c r="BT15" s="6" t="n">
        <v>4867175.3</v>
      </c>
      <c r="BU15" s="6" t="n">
        <v>5691089.3</v>
      </c>
      <c r="BV15" s="6" t="n">
        <v>6588222.6</v>
      </c>
      <c r="BW15" s="6" t="n">
        <v>7501810.6</v>
      </c>
      <c r="BX15" s="6" t="n">
        <v>8476736.3</v>
      </c>
      <c r="BY15" s="6" t="n">
        <v>10785481.2</v>
      </c>
      <c r="BZ15" s="6" t="n">
        <v>725822.9</v>
      </c>
      <c r="CA15" s="6" t="n">
        <v>1566336.4</v>
      </c>
      <c r="CB15" s="6" t="n">
        <v>3053877.9</v>
      </c>
      <c r="CC15" s="6" t="n">
        <v>3144833.5</v>
      </c>
      <c r="CD15" s="6" t="n">
        <v>4051389</v>
      </c>
    </row>
    <row r="16" customFormat="false" ht="15.75" hidden="false" customHeight="true" outlineLevel="0" collapsed="false">
      <c r="A16" s="1" t="n">
        <v>1726</v>
      </c>
      <c r="B16" s="1" t="s">
        <v>138</v>
      </c>
      <c r="C16" s="1" t="s">
        <v>139</v>
      </c>
      <c r="D16" s="1" t="s">
        <v>140</v>
      </c>
      <c r="E16" s="1" t="s">
        <v>141</v>
      </c>
      <c r="F16" s="6" t="n">
        <v>3394339.9</v>
      </c>
      <c r="G16" s="6" t="n">
        <v>6935349</v>
      </c>
      <c r="H16" s="6" t="n">
        <v>10041991.9</v>
      </c>
      <c r="I16" s="6" t="n">
        <v>16870767</v>
      </c>
      <c r="J16" s="6" t="n">
        <v>20429557.3</v>
      </c>
      <c r="K16" s="6" t="n">
        <v>26100794.3</v>
      </c>
      <c r="L16" s="6" t="n">
        <v>30569515.9</v>
      </c>
      <c r="M16" s="6" t="n">
        <v>36024730</v>
      </c>
      <c r="N16" s="6" t="n">
        <v>41661317.4</v>
      </c>
      <c r="O16" s="6" t="n">
        <v>47933682.5</v>
      </c>
      <c r="P16" s="6" t="n">
        <v>53520197.3</v>
      </c>
      <c r="Q16" s="6" t="n">
        <v>62519082.7</v>
      </c>
      <c r="R16" s="6" t="n">
        <v>4519737.5</v>
      </c>
      <c r="S16" s="6" t="n">
        <v>9958792.5</v>
      </c>
      <c r="T16" s="6" t="n">
        <v>16249263.6</v>
      </c>
      <c r="U16" s="6" t="n">
        <v>22921972.8</v>
      </c>
      <c r="V16" s="6" t="n">
        <v>31192504.4</v>
      </c>
      <c r="W16" s="6" t="n">
        <v>39014098.1</v>
      </c>
      <c r="X16" s="6" t="n">
        <v>47550367.8</v>
      </c>
      <c r="Y16" s="6" t="n">
        <v>56962173.9</v>
      </c>
      <c r="Z16" s="6" t="n">
        <v>64738433.9</v>
      </c>
      <c r="AA16" s="6" t="n">
        <v>73573415.4</v>
      </c>
      <c r="AB16" s="6" t="n">
        <v>84591651</v>
      </c>
      <c r="AC16" s="6" t="n">
        <v>100394642.9</v>
      </c>
      <c r="AD16" s="6" t="n">
        <v>5520534.9</v>
      </c>
      <c r="AE16" s="6" t="n">
        <v>13040950.7</v>
      </c>
      <c r="AF16" s="6" t="n">
        <v>21888774.1</v>
      </c>
      <c r="AG16" s="6" t="n">
        <v>31768857.5</v>
      </c>
      <c r="AH16" s="6" t="n">
        <v>43834187.7</v>
      </c>
      <c r="AI16" s="6" t="n">
        <v>55377831</v>
      </c>
      <c r="AJ16" s="6" t="n">
        <v>65562563</v>
      </c>
      <c r="AK16" s="6" t="n">
        <v>78166149</v>
      </c>
      <c r="AL16" s="6" t="n">
        <v>88479840.8</v>
      </c>
      <c r="AM16" s="6" t="n">
        <v>100629549.2</v>
      </c>
      <c r="AN16" s="6" t="n">
        <v>114532467.2</v>
      </c>
      <c r="AO16" s="6" t="n">
        <v>142354083.9</v>
      </c>
      <c r="AP16" s="6" t="n">
        <v>6361270.1</v>
      </c>
      <c r="AQ16" s="6" t="n">
        <v>14470003.9</v>
      </c>
      <c r="AR16" s="6" t="n">
        <v>24697424.6</v>
      </c>
      <c r="AS16" s="6" t="n">
        <v>35755062.1</v>
      </c>
      <c r="AT16" s="6" t="n">
        <v>55767336.9</v>
      </c>
      <c r="AU16" s="6" t="n">
        <v>68965086.7</v>
      </c>
      <c r="AV16" s="6" t="n">
        <v>81488253.8</v>
      </c>
      <c r="AW16" s="6" t="n">
        <v>100761523.5</v>
      </c>
      <c r="AX16" s="6" t="n">
        <v>133655625.5</v>
      </c>
      <c r="AY16" s="6" t="n">
        <v>152552543.6</v>
      </c>
      <c r="AZ16" s="6" t="n">
        <v>147374730.6</v>
      </c>
      <c r="BA16" s="6" t="n">
        <v>180924240</v>
      </c>
      <c r="BB16" s="6" t="n">
        <v>14861788.9</v>
      </c>
      <c r="BC16" s="6" t="n">
        <v>29536170.6</v>
      </c>
      <c r="BD16" s="6" t="n">
        <v>46135484.6</v>
      </c>
      <c r="BE16" s="6" t="n">
        <v>64178839.4</v>
      </c>
      <c r="BF16" s="6" t="n">
        <v>84790132.3</v>
      </c>
      <c r="BG16" s="6" t="n">
        <v>101139201.4</v>
      </c>
      <c r="BH16" s="6" t="n">
        <v>117448072.1</v>
      </c>
      <c r="BI16" s="6" t="n">
        <v>137912756.8</v>
      </c>
      <c r="BJ16" s="6" t="n">
        <v>158167889.6</v>
      </c>
      <c r="BK16" s="6" t="n">
        <v>180447780.4</v>
      </c>
      <c r="BL16" s="6" t="n">
        <v>201872562.9</v>
      </c>
      <c r="BM16" s="6" t="n">
        <v>247099454.1</v>
      </c>
      <c r="BN16" s="6" t="n">
        <v>16998936.2</v>
      </c>
      <c r="BO16" s="6" t="n">
        <v>34500419.5</v>
      </c>
      <c r="BP16" s="6" t="n">
        <v>53391284.9</v>
      </c>
      <c r="BQ16" s="6" t="n">
        <v>74175203.3</v>
      </c>
      <c r="BR16" s="6" t="n">
        <v>92860212.7</v>
      </c>
      <c r="BS16" s="6" t="n">
        <v>119411971.4</v>
      </c>
      <c r="BT16" s="6" t="n">
        <v>138591525.4</v>
      </c>
      <c r="BU16" s="6" t="n">
        <v>163325495.4</v>
      </c>
      <c r="BV16" s="6" t="n">
        <v>188996462.1</v>
      </c>
      <c r="BW16" s="6" t="n">
        <v>214754797.1</v>
      </c>
      <c r="BX16" s="6" t="n">
        <v>242603360.6</v>
      </c>
      <c r="BY16" s="6" t="n">
        <v>294842350.9</v>
      </c>
      <c r="BZ16" s="6" t="n">
        <v>19260255</v>
      </c>
      <c r="CA16" s="6" t="n">
        <v>38977022.7</v>
      </c>
      <c r="CB16" s="6" t="n">
        <v>52571126.6</v>
      </c>
      <c r="CC16" s="6" t="n">
        <v>82947752.2</v>
      </c>
      <c r="CD16" s="6" t="n">
        <v>116365121.3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2" activeCellId="0" sqref="F2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.83"/>
    <col collapsed="false" customWidth="true" hidden="false" outlineLevel="0" max="3" min="3" style="1" width="25.16"/>
    <col collapsed="false" customWidth="true" hidden="false" outlineLevel="0" max="4" min="4" style="1" width="23.16"/>
    <col collapsed="false" customWidth="true" hidden="false" outlineLevel="0" max="5" min="5" style="1" width="28.33"/>
    <col collapsed="false" customWidth="true" hidden="false" outlineLevel="0" max="15" min="6" style="1" width="11.16"/>
    <col collapsed="false" customWidth="true" hidden="false" outlineLevel="0" max="20" min="16" style="1" width="12.16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153</v>
      </c>
      <c r="R1" s="5" t="s">
        <v>154</v>
      </c>
      <c r="S1" s="5" t="s">
        <v>155</v>
      </c>
      <c r="T1" s="5" t="s">
        <v>156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11774100</v>
      </c>
      <c r="G2" s="6" t="n">
        <v>15476700</v>
      </c>
      <c r="H2" s="6" t="n">
        <v>18018800</v>
      </c>
      <c r="I2" s="6" t="n">
        <v>22001677.2</v>
      </c>
      <c r="J2" s="6" t="n">
        <v>25512624.2</v>
      </c>
      <c r="K2" s="6" t="n">
        <v>29156201.9</v>
      </c>
      <c r="L2" s="6" t="n">
        <v>35396463.1</v>
      </c>
      <c r="M2" s="6" t="n">
        <v>38799693.2</v>
      </c>
      <c r="N2" s="6" t="n">
        <v>57481979.6</v>
      </c>
      <c r="O2" s="6" t="n">
        <v>86538273.7</v>
      </c>
      <c r="P2" s="6" t="n">
        <v>128741736.2</v>
      </c>
      <c r="Q2" s="6" t="n">
        <v>183112282.4</v>
      </c>
      <c r="R2" s="6" t="n">
        <v>258444045.4</v>
      </c>
      <c r="S2" s="6" t="n">
        <v>385591909.6</v>
      </c>
      <c r="T2" s="6" t="n">
        <v>456623261</v>
      </c>
    </row>
    <row r="3" customFormat="false" ht="15.75" hidden="false" customHeight="true" outlineLevel="0" collapsed="false">
      <c r="A3" s="1" t="n">
        <v>1735</v>
      </c>
      <c r="B3" s="1" t="s">
        <v>86</v>
      </c>
      <c r="C3" s="1" t="s">
        <v>87</v>
      </c>
      <c r="D3" s="1" t="s">
        <v>88</v>
      </c>
      <c r="E3" s="1" t="s">
        <v>89</v>
      </c>
      <c r="F3" s="6" t="n">
        <v>292400</v>
      </c>
      <c r="G3" s="6" t="n">
        <v>446300</v>
      </c>
      <c r="H3" s="6" t="n">
        <v>474600</v>
      </c>
      <c r="I3" s="6" t="n">
        <v>463035</v>
      </c>
      <c r="J3" s="6" t="n">
        <v>562131.2</v>
      </c>
      <c r="K3" s="6" t="n">
        <v>683698.5</v>
      </c>
      <c r="L3" s="6" t="n">
        <v>709733</v>
      </c>
      <c r="M3" s="6" t="n">
        <v>800620.6</v>
      </c>
      <c r="N3" s="6" t="n">
        <v>1231804.5</v>
      </c>
      <c r="O3" s="6" t="n">
        <v>1607346.7</v>
      </c>
      <c r="P3" s="6" t="n">
        <v>2113941.8</v>
      </c>
      <c r="Q3" s="6" t="n">
        <v>2402092.1</v>
      </c>
      <c r="R3" s="6" t="n">
        <v>3626827</v>
      </c>
      <c r="S3" s="6" t="n">
        <v>5743073</v>
      </c>
      <c r="T3" s="6" t="n">
        <v>6757340.3</v>
      </c>
    </row>
    <row r="4" customFormat="false" ht="15.75" hidden="false" customHeight="true" outlineLevel="0" collapsed="false">
      <c r="A4" s="1" t="n">
        <v>1703</v>
      </c>
      <c r="B4" s="1" t="s">
        <v>90</v>
      </c>
      <c r="C4" s="1" t="s">
        <v>91</v>
      </c>
      <c r="D4" s="1" t="s">
        <v>92</v>
      </c>
      <c r="E4" s="1" t="s">
        <v>93</v>
      </c>
      <c r="F4" s="6" t="n">
        <v>428100</v>
      </c>
      <c r="G4" s="6" t="n">
        <v>727000</v>
      </c>
      <c r="H4" s="6" t="n">
        <v>738100</v>
      </c>
      <c r="I4" s="6" t="n">
        <v>831688.1</v>
      </c>
      <c r="J4" s="6" t="n">
        <v>993355.5</v>
      </c>
      <c r="K4" s="6" t="n">
        <v>1132756.6</v>
      </c>
      <c r="L4" s="6" t="n">
        <v>1149951.4</v>
      </c>
      <c r="M4" s="6" t="n">
        <v>1243050.5</v>
      </c>
      <c r="N4" s="6" t="n">
        <v>2288336.2</v>
      </c>
      <c r="O4" s="6" t="n">
        <v>2436753.9</v>
      </c>
      <c r="P4" s="6" t="n">
        <v>3719177.6</v>
      </c>
      <c r="Q4" s="6" t="n">
        <v>4283896.8</v>
      </c>
      <c r="R4" s="6" t="n">
        <v>6313984.8</v>
      </c>
      <c r="S4" s="6" t="n">
        <v>11517875.8</v>
      </c>
      <c r="T4" s="6" t="n">
        <v>13235128</v>
      </c>
    </row>
    <row r="5" customFormat="false" ht="15.75" hidden="false" customHeight="true" outlineLevel="0" collapsed="false">
      <c r="A5" s="1" t="n">
        <v>1706</v>
      </c>
      <c r="B5" s="1" t="s">
        <v>94</v>
      </c>
      <c r="C5" s="1" t="s">
        <v>95</v>
      </c>
      <c r="D5" s="1" t="s">
        <v>96</v>
      </c>
      <c r="E5" s="1" t="s">
        <v>97</v>
      </c>
      <c r="F5" s="6" t="n">
        <v>444800</v>
      </c>
      <c r="G5" s="6" t="n">
        <v>661400</v>
      </c>
      <c r="H5" s="6" t="n">
        <v>773400</v>
      </c>
      <c r="I5" s="6" t="n">
        <v>890285.5</v>
      </c>
      <c r="J5" s="6" t="n">
        <v>1185739.1</v>
      </c>
      <c r="K5" s="6" t="n">
        <v>1298777.1</v>
      </c>
      <c r="L5" s="6" t="n">
        <v>1490571.9</v>
      </c>
      <c r="M5" s="6" t="n">
        <v>1537772.9</v>
      </c>
      <c r="N5" s="6" t="n">
        <v>1809226.2</v>
      </c>
      <c r="O5" s="6" t="n">
        <v>3112333.8</v>
      </c>
      <c r="P5" s="6" t="n">
        <v>4587610.3</v>
      </c>
      <c r="Q5" s="6" t="n">
        <v>6991633.9</v>
      </c>
      <c r="R5" s="6" t="n">
        <v>13450872.9</v>
      </c>
      <c r="S5" s="6" t="n">
        <v>16024847.9</v>
      </c>
      <c r="T5" s="6" t="n">
        <v>17819675.8</v>
      </c>
    </row>
    <row r="6" customFormat="false" ht="15.75" hidden="false" customHeight="true" outlineLevel="0" collapsed="false">
      <c r="A6" s="1" t="n">
        <v>1708</v>
      </c>
      <c r="B6" s="1" t="s">
        <v>98</v>
      </c>
      <c r="C6" s="1" t="s">
        <v>99</v>
      </c>
      <c r="D6" s="1" t="s">
        <v>100</v>
      </c>
      <c r="E6" s="1" t="s">
        <v>101</v>
      </c>
      <c r="F6" s="6" t="n">
        <v>225400</v>
      </c>
      <c r="G6" s="6" t="n">
        <v>352300</v>
      </c>
      <c r="H6" s="6" t="n">
        <v>354600</v>
      </c>
      <c r="I6" s="6" t="n">
        <v>375079</v>
      </c>
      <c r="J6" s="6" t="n">
        <v>473449.3</v>
      </c>
      <c r="K6" s="6" t="n">
        <v>516437.3</v>
      </c>
      <c r="L6" s="6" t="n">
        <v>597286</v>
      </c>
      <c r="M6" s="6" t="n">
        <v>752103.9</v>
      </c>
      <c r="N6" s="6" t="n">
        <v>1641746.5</v>
      </c>
      <c r="O6" s="6" t="n">
        <v>2198747.1</v>
      </c>
      <c r="P6" s="6" t="n">
        <v>2213252.1</v>
      </c>
      <c r="Q6" s="6" t="n">
        <v>2289120</v>
      </c>
      <c r="R6" s="6" t="n">
        <v>3522258</v>
      </c>
      <c r="S6" s="6" t="n">
        <v>3552448</v>
      </c>
      <c r="T6" s="6" t="n">
        <v>5664338.5</v>
      </c>
    </row>
    <row r="7" customFormat="false" ht="15.75" hidden="false" customHeight="true" outlineLevel="0" collapsed="false">
      <c r="A7" s="1" t="n">
        <v>1710</v>
      </c>
      <c r="B7" s="1" t="s">
        <v>102</v>
      </c>
      <c r="C7" s="1" t="s">
        <v>103</v>
      </c>
      <c r="D7" s="1" t="s">
        <v>104</v>
      </c>
      <c r="E7" s="1" t="s">
        <v>105</v>
      </c>
      <c r="F7" s="6" t="n">
        <v>475300</v>
      </c>
      <c r="G7" s="6" t="n">
        <v>729100</v>
      </c>
      <c r="H7" s="6" t="n">
        <v>873100</v>
      </c>
      <c r="I7" s="6" t="n">
        <v>1180084.2</v>
      </c>
      <c r="J7" s="6" t="n">
        <v>1420362.6</v>
      </c>
      <c r="K7" s="6" t="n">
        <v>1530712.1</v>
      </c>
      <c r="L7" s="6" t="n">
        <v>1812925.1</v>
      </c>
      <c r="M7" s="6" t="n">
        <v>1807868.3</v>
      </c>
      <c r="N7" s="6" t="n">
        <v>2331638.6</v>
      </c>
      <c r="O7" s="6" t="n">
        <v>2707171.5</v>
      </c>
      <c r="P7" s="6" t="n">
        <v>3061049.4</v>
      </c>
      <c r="Q7" s="6" t="n">
        <v>3767950.7</v>
      </c>
      <c r="R7" s="6" t="n">
        <v>6158340.7</v>
      </c>
      <c r="S7" s="6" t="n">
        <v>7592725.7</v>
      </c>
      <c r="T7" s="6" t="n">
        <v>8949146.7</v>
      </c>
    </row>
    <row r="8" customFormat="false" ht="15.75" hidden="false" customHeight="true" outlineLevel="0" collapsed="false">
      <c r="A8" s="1" t="n">
        <v>1712</v>
      </c>
      <c r="B8" s="1" t="s">
        <v>106</v>
      </c>
      <c r="C8" s="1" t="s">
        <v>107</v>
      </c>
      <c r="D8" s="1" t="s">
        <v>108</v>
      </c>
      <c r="E8" s="1" t="s">
        <v>109</v>
      </c>
      <c r="F8" s="6" t="n">
        <v>389700</v>
      </c>
      <c r="G8" s="6" t="n">
        <v>463400</v>
      </c>
      <c r="H8" s="6" t="n">
        <v>448600</v>
      </c>
      <c r="I8" s="6" t="n">
        <v>472122.5</v>
      </c>
      <c r="J8" s="6" t="n">
        <v>624723.4</v>
      </c>
      <c r="K8" s="6" t="n">
        <v>501399.3</v>
      </c>
      <c r="L8" s="6" t="n">
        <v>591061</v>
      </c>
      <c r="M8" s="6" t="n">
        <v>676809.3</v>
      </c>
      <c r="N8" s="6" t="n">
        <v>1659416.5</v>
      </c>
      <c r="O8" s="6" t="n">
        <v>1840064.3</v>
      </c>
      <c r="P8" s="6" t="n">
        <v>1876174.4</v>
      </c>
      <c r="Q8" s="6" t="n">
        <v>2025804.9</v>
      </c>
      <c r="R8" s="6" t="n">
        <v>3284291.5</v>
      </c>
      <c r="S8" s="6" t="n">
        <v>4294889.7</v>
      </c>
      <c r="T8" s="6" t="n">
        <v>4868652.9</v>
      </c>
    </row>
    <row r="9" customFormat="false" ht="15.75" hidden="false" customHeight="true" outlineLevel="0" collapsed="false">
      <c r="A9" s="1" t="n">
        <v>1714</v>
      </c>
      <c r="B9" s="1" t="s">
        <v>110</v>
      </c>
      <c r="C9" s="1" t="s">
        <v>111</v>
      </c>
      <c r="D9" s="1" t="s">
        <v>112</v>
      </c>
      <c r="E9" s="1" t="s">
        <v>113</v>
      </c>
      <c r="F9" s="6" t="n">
        <v>411300</v>
      </c>
      <c r="G9" s="6" t="n">
        <v>725400</v>
      </c>
      <c r="H9" s="6" t="n">
        <v>713200</v>
      </c>
      <c r="I9" s="6" t="n">
        <v>786869.2</v>
      </c>
      <c r="J9" s="6" t="n">
        <v>853034.6</v>
      </c>
      <c r="K9" s="6" t="n">
        <v>1015798.4</v>
      </c>
      <c r="L9" s="6" t="n">
        <v>1224563.8</v>
      </c>
      <c r="M9" s="6" t="n">
        <v>1506647.5</v>
      </c>
      <c r="N9" s="6" t="n">
        <v>1607146.1</v>
      </c>
      <c r="O9" s="6" t="n">
        <v>2687108.3</v>
      </c>
      <c r="P9" s="6" t="n">
        <v>5005054.3</v>
      </c>
      <c r="Q9" s="6" t="n">
        <v>7168668.1</v>
      </c>
      <c r="R9" s="6" t="n">
        <v>9457737.8</v>
      </c>
      <c r="S9" s="6" t="n">
        <v>16090211.6</v>
      </c>
      <c r="T9" s="6" t="n">
        <v>18952290</v>
      </c>
    </row>
    <row r="10" customFormat="false" ht="15.75" hidden="false" customHeight="true" outlineLevel="0" collapsed="false">
      <c r="A10" s="1" t="n">
        <v>1718</v>
      </c>
      <c r="B10" s="1" t="s">
        <v>114</v>
      </c>
      <c r="C10" s="1" t="s">
        <v>115</v>
      </c>
      <c r="D10" s="1" t="s">
        <v>116</v>
      </c>
      <c r="E10" s="1" t="s">
        <v>117</v>
      </c>
      <c r="F10" s="6" t="n">
        <v>780200</v>
      </c>
      <c r="G10" s="6" t="n">
        <v>1112000</v>
      </c>
      <c r="H10" s="6" t="n">
        <v>1296200</v>
      </c>
      <c r="I10" s="6" t="n">
        <v>1430251.6</v>
      </c>
      <c r="J10" s="6" t="n">
        <v>1723435</v>
      </c>
      <c r="K10" s="6" t="n">
        <v>2043502.4</v>
      </c>
      <c r="L10" s="6" t="n">
        <v>2759436.4</v>
      </c>
      <c r="M10" s="6" t="n">
        <v>2876716.9</v>
      </c>
      <c r="N10" s="6" t="n">
        <v>3740117.7</v>
      </c>
      <c r="O10" s="6" t="n">
        <v>5445351.1</v>
      </c>
      <c r="P10" s="6" t="n">
        <v>7041585.5</v>
      </c>
      <c r="Q10" s="6" t="n">
        <v>9316221.2</v>
      </c>
      <c r="R10" s="6" t="n">
        <v>12954120</v>
      </c>
      <c r="S10" s="6" t="n">
        <v>22311416.3</v>
      </c>
      <c r="T10" s="6" t="n">
        <v>27742479.6</v>
      </c>
    </row>
    <row r="11" customFormat="false" ht="15.75" hidden="false" customHeight="true" outlineLevel="0" collapsed="false">
      <c r="A11" s="1" t="n">
        <v>1722</v>
      </c>
      <c r="B11" s="1" t="s">
        <v>118</v>
      </c>
      <c r="C11" s="1" t="s">
        <v>119</v>
      </c>
      <c r="D11" s="1" t="s">
        <v>120</v>
      </c>
      <c r="E11" s="1" t="s">
        <v>121</v>
      </c>
      <c r="F11" s="6" t="n">
        <v>335600</v>
      </c>
      <c r="G11" s="6" t="n">
        <v>428400</v>
      </c>
      <c r="H11" s="6" t="n">
        <v>530500</v>
      </c>
      <c r="I11" s="6" t="n">
        <v>649445.9</v>
      </c>
      <c r="J11" s="6" t="n">
        <v>800366.7</v>
      </c>
      <c r="K11" s="6" t="n">
        <v>841183</v>
      </c>
      <c r="L11" s="6" t="n">
        <v>1151127</v>
      </c>
      <c r="M11" s="6" t="n">
        <v>1523574.2</v>
      </c>
      <c r="N11" s="6" t="n">
        <v>2029449.4</v>
      </c>
      <c r="O11" s="6" t="n">
        <v>2559212.2</v>
      </c>
      <c r="P11" s="6" t="n">
        <v>3923768.9</v>
      </c>
      <c r="Q11" s="6" t="n">
        <v>5079342.8</v>
      </c>
      <c r="R11" s="6" t="n">
        <v>5767057.5</v>
      </c>
      <c r="S11" s="6" t="n">
        <v>9769005</v>
      </c>
      <c r="T11" s="6" t="n">
        <v>10689931.1</v>
      </c>
    </row>
    <row r="12" customFormat="false" ht="15.75" hidden="false" customHeight="true" outlineLevel="0" collapsed="false">
      <c r="A12" s="1" t="n">
        <v>1724</v>
      </c>
      <c r="B12" s="1" t="s">
        <v>122</v>
      </c>
      <c r="C12" s="1" t="s">
        <v>123</v>
      </c>
      <c r="D12" s="1" t="s">
        <v>124</v>
      </c>
      <c r="E12" s="1" t="s">
        <v>125</v>
      </c>
      <c r="F12" s="6" t="n">
        <v>195100</v>
      </c>
      <c r="G12" s="6" t="n">
        <v>317400</v>
      </c>
      <c r="H12" s="6" t="n">
        <v>399400</v>
      </c>
      <c r="I12" s="6" t="n">
        <v>458924</v>
      </c>
      <c r="J12" s="6" t="n">
        <v>499162.5</v>
      </c>
      <c r="K12" s="6" t="n">
        <v>619164.2</v>
      </c>
      <c r="L12" s="6" t="n">
        <v>800471.2</v>
      </c>
      <c r="M12" s="6" t="n">
        <v>872092.1</v>
      </c>
      <c r="N12" s="6" t="n">
        <v>1199213.2</v>
      </c>
      <c r="O12" s="6" t="n">
        <v>2072187.6</v>
      </c>
      <c r="P12" s="6" t="n">
        <v>2157716.2</v>
      </c>
      <c r="Q12" s="6" t="n">
        <v>2646445.8</v>
      </c>
      <c r="R12" s="6" t="n">
        <v>3530745</v>
      </c>
      <c r="S12" s="6" t="n">
        <v>5778775.3</v>
      </c>
      <c r="T12" s="6" t="n">
        <v>6843396.1</v>
      </c>
    </row>
    <row r="13" customFormat="false" ht="15.75" hidden="false" customHeight="true" outlineLevel="0" collapsed="false">
      <c r="A13" s="1" t="n">
        <v>1727</v>
      </c>
      <c r="B13" s="1" t="s">
        <v>126</v>
      </c>
      <c r="C13" s="1" t="s">
        <v>127</v>
      </c>
      <c r="D13" s="1" t="s">
        <v>128</v>
      </c>
      <c r="E13" s="1" t="s">
        <v>129</v>
      </c>
      <c r="F13" s="6" t="n">
        <v>1653000</v>
      </c>
      <c r="G13" s="6" t="n">
        <v>2111800</v>
      </c>
      <c r="H13" s="6" t="n">
        <v>2126200</v>
      </c>
      <c r="I13" s="6" t="n">
        <v>2548530</v>
      </c>
      <c r="J13" s="6" t="n">
        <v>3371648.2</v>
      </c>
      <c r="K13" s="6" t="n">
        <v>3403221.9</v>
      </c>
      <c r="L13" s="6" t="n">
        <v>4092934</v>
      </c>
      <c r="M13" s="6" t="n">
        <v>3950100.5</v>
      </c>
      <c r="N13" s="6" t="n">
        <v>5718607.2</v>
      </c>
      <c r="O13" s="6" t="n">
        <v>8612075.2</v>
      </c>
      <c r="P13" s="6" t="n">
        <v>12039270</v>
      </c>
      <c r="Q13" s="6" t="n">
        <v>14302089.5</v>
      </c>
      <c r="R13" s="6" t="n">
        <v>25982338.1</v>
      </c>
      <c r="S13" s="6" t="n">
        <v>42677896.9</v>
      </c>
      <c r="T13" s="6" t="n">
        <v>53394901.8</v>
      </c>
    </row>
    <row r="14" customFormat="false" ht="15.75" hidden="false" customHeight="true" outlineLevel="0" collapsed="false">
      <c r="A14" s="1" t="n">
        <v>1730</v>
      </c>
      <c r="B14" s="1" t="s">
        <v>130</v>
      </c>
      <c r="C14" s="1" t="s">
        <v>131</v>
      </c>
      <c r="D14" s="1" t="s">
        <v>132</v>
      </c>
      <c r="E14" s="1" t="s">
        <v>133</v>
      </c>
      <c r="F14" s="6" t="n">
        <v>804600</v>
      </c>
      <c r="G14" s="6" t="n">
        <v>1032200</v>
      </c>
      <c r="H14" s="6" t="n">
        <v>1216100</v>
      </c>
      <c r="I14" s="6" t="n">
        <v>1356745</v>
      </c>
      <c r="J14" s="6" t="n">
        <v>1477899.2</v>
      </c>
      <c r="K14" s="6" t="n">
        <v>1857089</v>
      </c>
      <c r="L14" s="6" t="n">
        <v>2180146.8</v>
      </c>
      <c r="M14" s="6" t="n">
        <v>2415385.1</v>
      </c>
      <c r="N14" s="6" t="n">
        <v>3997047.5</v>
      </c>
      <c r="O14" s="6" t="n">
        <v>5889749.8</v>
      </c>
      <c r="P14" s="6" t="n">
        <v>7909835.9</v>
      </c>
      <c r="Q14" s="6" t="n">
        <v>11050207.7</v>
      </c>
      <c r="R14" s="6" t="n">
        <v>15988074.9</v>
      </c>
      <c r="S14" s="6" t="n">
        <v>22063906.3</v>
      </c>
      <c r="T14" s="6" t="n">
        <v>26686635.7</v>
      </c>
    </row>
    <row r="15" customFormat="false" ht="15.75" hidden="false" customHeight="true" outlineLevel="0" collapsed="false">
      <c r="A15" s="1" t="n">
        <v>1733</v>
      </c>
      <c r="B15" s="1" t="s">
        <v>134</v>
      </c>
      <c r="C15" s="1" t="s">
        <v>135</v>
      </c>
      <c r="D15" s="1" t="s">
        <v>136</v>
      </c>
      <c r="E15" s="1" t="s">
        <v>137</v>
      </c>
      <c r="F15" s="6" t="n">
        <v>270900</v>
      </c>
      <c r="G15" s="6" t="n">
        <v>428400</v>
      </c>
      <c r="H15" s="6" t="n">
        <v>509500</v>
      </c>
      <c r="I15" s="6" t="n">
        <v>608841.8</v>
      </c>
      <c r="J15" s="6" t="n">
        <v>674059</v>
      </c>
      <c r="K15" s="6" t="n">
        <v>722575.3</v>
      </c>
      <c r="L15" s="6" t="n">
        <v>757272.8</v>
      </c>
      <c r="M15" s="6" t="n">
        <v>876454.5</v>
      </c>
      <c r="N15" s="6" t="n">
        <v>1568457.6</v>
      </c>
      <c r="O15" s="6" t="n">
        <v>2002647.5</v>
      </c>
      <c r="P15" s="6" t="n">
        <v>3101779.7</v>
      </c>
      <c r="Q15" s="6" t="n">
        <v>3937558.5</v>
      </c>
      <c r="R15" s="6" t="n">
        <v>6053313.3</v>
      </c>
      <c r="S15" s="6" t="n">
        <v>7707525.7</v>
      </c>
      <c r="T15" s="6" t="n">
        <v>9265334.3</v>
      </c>
    </row>
    <row r="16" customFormat="false" ht="15.75" hidden="false" customHeight="true" outlineLevel="0" collapsed="false">
      <c r="A16" s="1" t="n">
        <v>1726</v>
      </c>
      <c r="B16" s="1" t="s">
        <v>138</v>
      </c>
      <c r="C16" s="1" t="s">
        <v>139</v>
      </c>
      <c r="D16" s="1" t="s">
        <v>140</v>
      </c>
      <c r="E16" s="1" t="s">
        <v>141</v>
      </c>
      <c r="F16" s="6" t="n">
        <v>5067700</v>
      </c>
      <c r="G16" s="6" t="n">
        <v>5941600</v>
      </c>
      <c r="H16" s="6" t="n">
        <v>7565300</v>
      </c>
      <c r="I16" s="6" t="n">
        <v>9949775.4</v>
      </c>
      <c r="J16" s="6" t="n">
        <v>10853257.9</v>
      </c>
      <c r="K16" s="6" t="n">
        <v>12989886.8</v>
      </c>
      <c r="L16" s="6" t="n">
        <v>16078982.7</v>
      </c>
      <c r="M16" s="6" t="n">
        <v>17960496.7</v>
      </c>
      <c r="N16" s="6" t="n">
        <v>26659772.4</v>
      </c>
      <c r="O16" s="6" t="n">
        <v>43367524.8</v>
      </c>
      <c r="P16" s="6" t="n">
        <v>69991602.6</v>
      </c>
      <c r="Q16" s="6" t="n">
        <v>107851250.5</v>
      </c>
      <c r="R16" s="6" t="n">
        <v>142354083.9</v>
      </c>
      <c r="S16" s="6" t="n">
        <v>210467312.4</v>
      </c>
      <c r="T16" s="6" t="n">
        <v>245754010.1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D34" activeCellId="0" sqref="D34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.83"/>
    <col collapsed="false" customWidth="true" hidden="false" outlineLevel="0" max="3" min="3" style="1" width="25.16"/>
    <col collapsed="false" customWidth="true" hidden="false" outlineLevel="0" max="4" min="4" style="1" width="23.16"/>
    <col collapsed="false" customWidth="true" hidden="false" outlineLevel="0" max="5" min="5" style="1" width="28.33"/>
    <col collapsed="false" customWidth="true" hidden="false" outlineLevel="0" max="20" min="6" style="1" width="7.67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153</v>
      </c>
      <c r="R1" s="5" t="s">
        <v>154</v>
      </c>
      <c r="S1" s="5" t="s">
        <v>155</v>
      </c>
      <c r="T1" s="5" t="s">
        <v>156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125.6</v>
      </c>
      <c r="G2" s="6" t="n">
        <v>114.6</v>
      </c>
      <c r="H2" s="6" t="n">
        <v>115.4</v>
      </c>
      <c r="I2" s="6" t="n">
        <v>109.1</v>
      </c>
      <c r="J2" s="6" t="n">
        <v>110.1</v>
      </c>
      <c r="K2" s="6" t="n">
        <v>107.4</v>
      </c>
      <c r="L2" s="6" t="n">
        <v>112.3</v>
      </c>
      <c r="M2" s="6" t="n">
        <v>94</v>
      </c>
      <c r="N2" s="6" t="n">
        <v>124.7</v>
      </c>
      <c r="O2" s="6" t="n">
        <v>131.7</v>
      </c>
      <c r="P2" s="6" t="n">
        <v>130.9</v>
      </c>
      <c r="Q2" s="6" t="n">
        <v>127.4</v>
      </c>
      <c r="R2" s="6" t="n">
        <v>125.1</v>
      </c>
      <c r="S2" s="6" t="n">
        <v>115.6</v>
      </c>
      <c r="T2" s="6" t="n">
        <v>111.8</v>
      </c>
    </row>
    <row r="3" customFormat="false" ht="15.75" hidden="false" customHeight="true" outlineLevel="0" collapsed="false">
      <c r="A3" s="1" t="n">
        <v>1735</v>
      </c>
      <c r="B3" s="1" t="s">
        <v>86</v>
      </c>
      <c r="C3" s="1" t="s">
        <v>87</v>
      </c>
      <c r="D3" s="1" t="s">
        <v>88</v>
      </c>
      <c r="E3" s="1" t="s">
        <v>89</v>
      </c>
      <c r="F3" s="6" t="n">
        <v>122.2</v>
      </c>
      <c r="G3" s="6" t="n">
        <v>127.5</v>
      </c>
      <c r="H3" s="6" t="n">
        <v>86.9</v>
      </c>
      <c r="I3" s="6" t="n">
        <v>84.7</v>
      </c>
      <c r="J3" s="6" t="n">
        <v>120.2</v>
      </c>
      <c r="K3" s="6" t="n">
        <v>114.1</v>
      </c>
      <c r="L3" s="6" t="n">
        <v>96.3</v>
      </c>
      <c r="M3" s="6" t="n">
        <v>96.6</v>
      </c>
      <c r="N3" s="6" t="n">
        <v>129.4</v>
      </c>
      <c r="O3" s="6" t="n">
        <v>115.4</v>
      </c>
      <c r="P3" s="6" t="n">
        <v>116.3</v>
      </c>
      <c r="Q3" s="6" t="n">
        <v>102.6</v>
      </c>
      <c r="R3" s="6" t="n">
        <v>133.4</v>
      </c>
      <c r="S3" s="6" t="n">
        <v>118</v>
      </c>
      <c r="T3" s="6" t="n">
        <v>111.8</v>
      </c>
    </row>
    <row r="4" customFormat="false" ht="15.75" hidden="false" customHeight="true" outlineLevel="0" collapsed="false">
      <c r="A4" s="1" t="n">
        <v>1703</v>
      </c>
      <c r="B4" s="1" t="s">
        <v>90</v>
      </c>
      <c r="C4" s="1" t="s">
        <v>91</v>
      </c>
      <c r="D4" s="1" t="s">
        <v>92</v>
      </c>
      <c r="E4" s="1" t="s">
        <v>93</v>
      </c>
      <c r="F4" s="6" t="n">
        <v>107.9</v>
      </c>
      <c r="G4" s="6" t="n">
        <v>135.3</v>
      </c>
      <c r="H4" s="6" t="n">
        <v>79.8</v>
      </c>
      <c r="I4" s="6" t="n">
        <v>100.5</v>
      </c>
      <c r="J4" s="6" t="n">
        <v>110.3</v>
      </c>
      <c r="K4" s="6" t="n">
        <v>105.7</v>
      </c>
      <c r="L4" s="6" t="n">
        <v>93.8</v>
      </c>
      <c r="M4" s="6" t="n">
        <v>92.2</v>
      </c>
      <c r="N4" s="6" t="n">
        <v>153.7</v>
      </c>
      <c r="O4" s="6" t="n">
        <v>94.4</v>
      </c>
      <c r="P4" s="6" t="n">
        <v>135.1</v>
      </c>
      <c r="Q4" s="6" t="n">
        <v>103.9</v>
      </c>
      <c r="R4" s="6" t="n">
        <v>130.5</v>
      </c>
      <c r="S4" s="6" t="n">
        <v>124.3</v>
      </c>
      <c r="T4" s="6" t="n">
        <v>108.6</v>
      </c>
    </row>
    <row r="5" customFormat="false" ht="15.75" hidden="false" customHeight="true" outlineLevel="0" collapsed="false">
      <c r="A5" s="1" t="n">
        <v>1706</v>
      </c>
      <c r="B5" s="1" t="s">
        <v>94</v>
      </c>
      <c r="C5" s="1" t="s">
        <v>95</v>
      </c>
      <c r="D5" s="1" t="s">
        <v>96</v>
      </c>
      <c r="E5" s="1" t="s">
        <v>97</v>
      </c>
      <c r="F5" s="6" t="n">
        <v>125.9</v>
      </c>
      <c r="G5" s="6" t="n">
        <v>114.9</v>
      </c>
      <c r="H5" s="6" t="n">
        <v>104.6</v>
      </c>
      <c r="I5" s="6" t="n">
        <v>100.4</v>
      </c>
      <c r="J5" s="6" t="n">
        <v>125</v>
      </c>
      <c r="K5" s="6" t="n">
        <v>104.2</v>
      </c>
      <c r="L5" s="6" t="n">
        <v>105.5</v>
      </c>
      <c r="M5" s="6" t="n">
        <v>88.8</v>
      </c>
      <c r="N5" s="6" t="n">
        <v>100</v>
      </c>
      <c r="O5" s="6" t="n">
        <v>150.5</v>
      </c>
      <c r="P5" s="6" t="n">
        <v>129.1</v>
      </c>
      <c r="Q5" s="6" t="n">
        <v>137.7</v>
      </c>
      <c r="R5" s="6" t="n">
        <v>170.7</v>
      </c>
      <c r="S5" s="6" t="n">
        <v>92.8</v>
      </c>
      <c r="T5" s="6" t="n">
        <v>105.3</v>
      </c>
    </row>
    <row r="6" customFormat="false" ht="15.75" hidden="false" customHeight="true" outlineLevel="0" collapsed="false">
      <c r="A6" s="1" t="n">
        <v>1708</v>
      </c>
      <c r="B6" s="1" t="s">
        <v>98</v>
      </c>
      <c r="C6" s="1" t="s">
        <v>99</v>
      </c>
      <c r="D6" s="1" t="s">
        <v>100</v>
      </c>
      <c r="E6" s="1" t="s">
        <v>101</v>
      </c>
      <c r="F6" s="6" t="n">
        <v>112.8</v>
      </c>
      <c r="G6" s="6" t="n">
        <v>121.2</v>
      </c>
      <c r="H6" s="6" t="n">
        <v>84.2</v>
      </c>
      <c r="I6" s="6" t="n">
        <v>93.8</v>
      </c>
      <c r="J6" s="6" t="n">
        <v>115.2</v>
      </c>
      <c r="K6" s="6" t="n">
        <v>104.4</v>
      </c>
      <c r="L6" s="6" t="n">
        <v>106.2</v>
      </c>
      <c r="M6" s="6" t="n">
        <v>107.2</v>
      </c>
      <c r="N6" s="6" t="n">
        <v>185.5</v>
      </c>
      <c r="O6" s="6" t="n">
        <v>118.3</v>
      </c>
      <c r="P6" s="6" t="n">
        <v>88.8</v>
      </c>
      <c r="Q6" s="6" t="n">
        <v>92.6</v>
      </c>
      <c r="R6" s="6" t="n">
        <v>136.7</v>
      </c>
      <c r="S6" s="6" t="n">
        <v>81.9</v>
      </c>
      <c r="T6" s="6" t="n">
        <v>150.5</v>
      </c>
    </row>
    <row r="7" customFormat="false" ht="15.75" hidden="false" customHeight="true" outlineLevel="0" collapsed="false">
      <c r="A7" s="1" t="n">
        <v>1710</v>
      </c>
      <c r="B7" s="1" t="s">
        <v>102</v>
      </c>
      <c r="C7" s="1" t="s">
        <v>103</v>
      </c>
      <c r="D7" s="1" t="s">
        <v>104</v>
      </c>
      <c r="E7" s="1" t="s">
        <v>105</v>
      </c>
      <c r="F7" s="6" t="n">
        <v>116.7</v>
      </c>
      <c r="G7" s="6" t="n">
        <v>123.4</v>
      </c>
      <c r="H7" s="6" t="n">
        <v>121.3</v>
      </c>
      <c r="I7" s="6" t="n">
        <v>119.6</v>
      </c>
      <c r="J7" s="6" t="n">
        <v>113</v>
      </c>
      <c r="K7" s="6" t="n">
        <v>101.1</v>
      </c>
      <c r="L7" s="6" t="n">
        <v>110.2</v>
      </c>
      <c r="M7" s="6" t="n">
        <v>86.5</v>
      </c>
      <c r="N7" s="6" t="n">
        <v>108.5</v>
      </c>
      <c r="O7" s="6" t="n">
        <v>101.8</v>
      </c>
      <c r="P7" s="6" t="n">
        <v>98.8</v>
      </c>
      <c r="Q7" s="6" t="n">
        <v>110.7</v>
      </c>
      <c r="R7" s="6" t="n">
        <v>145</v>
      </c>
      <c r="S7" s="6" t="n">
        <v>98.5</v>
      </c>
      <c r="T7" s="6" t="n">
        <v>111.3</v>
      </c>
    </row>
    <row r="8" customFormat="false" ht="15.75" hidden="false" customHeight="true" outlineLevel="0" collapsed="false">
      <c r="A8" s="1" t="n">
        <v>1712</v>
      </c>
      <c r="B8" s="1" t="s">
        <v>106</v>
      </c>
      <c r="C8" s="1" t="s">
        <v>107</v>
      </c>
      <c r="D8" s="1" t="s">
        <v>108</v>
      </c>
      <c r="E8" s="1" t="s">
        <v>109</v>
      </c>
      <c r="F8" s="6" t="n">
        <v>87.5</v>
      </c>
      <c r="G8" s="6" t="n">
        <v>163.6</v>
      </c>
      <c r="H8" s="6" t="n">
        <v>139</v>
      </c>
      <c r="I8" s="6" t="n">
        <v>93.3</v>
      </c>
      <c r="J8" s="6" t="n">
        <v>119</v>
      </c>
      <c r="K8" s="6" t="n">
        <v>75.2</v>
      </c>
      <c r="L8" s="6" t="n">
        <v>109.6</v>
      </c>
      <c r="M8" s="6" t="n">
        <v>97.7</v>
      </c>
      <c r="N8" s="6" t="n">
        <v>207.7</v>
      </c>
      <c r="O8" s="6" t="n">
        <v>97.6</v>
      </c>
      <c r="P8" s="6" t="n">
        <v>91.8</v>
      </c>
      <c r="Q8" s="6" t="n">
        <v>97.3</v>
      </c>
      <c r="R8" s="6" t="n">
        <v>143.1</v>
      </c>
      <c r="S8" s="6" t="n">
        <v>106.2</v>
      </c>
      <c r="T8" s="6" t="n">
        <v>106.6</v>
      </c>
    </row>
    <row r="9" customFormat="false" ht="15.75" hidden="false" customHeight="true" outlineLevel="0" collapsed="false">
      <c r="A9" s="1" t="n">
        <v>1714</v>
      </c>
      <c r="B9" s="1" t="s">
        <v>110</v>
      </c>
      <c r="C9" s="1" t="s">
        <v>111</v>
      </c>
      <c r="D9" s="1" t="s">
        <v>112</v>
      </c>
      <c r="E9" s="1" t="s">
        <v>113</v>
      </c>
      <c r="F9" s="6" t="n">
        <v>100.8</v>
      </c>
      <c r="G9" s="6" t="n">
        <v>156.5</v>
      </c>
      <c r="H9" s="6" t="n">
        <v>74.8</v>
      </c>
      <c r="I9" s="6" t="n">
        <v>96.5</v>
      </c>
      <c r="J9" s="6" t="n">
        <v>105.6</v>
      </c>
      <c r="K9" s="6" t="n">
        <v>113</v>
      </c>
      <c r="L9" s="6" t="n">
        <v>110.8</v>
      </c>
      <c r="M9" s="6" t="n">
        <v>105.5</v>
      </c>
      <c r="N9" s="6" t="n">
        <v>90.3</v>
      </c>
      <c r="O9" s="6" t="n">
        <v>145.3</v>
      </c>
      <c r="P9" s="6" t="n">
        <v>165.1</v>
      </c>
      <c r="Q9" s="6" t="n">
        <v>129</v>
      </c>
      <c r="R9" s="6" t="n">
        <v>117.2</v>
      </c>
      <c r="S9" s="6" t="n">
        <v>122.4</v>
      </c>
      <c r="T9" s="6" t="n">
        <v>111.3</v>
      </c>
    </row>
    <row r="10" customFormat="false" ht="15.75" hidden="false" customHeight="true" outlineLevel="0" collapsed="false">
      <c r="A10" s="1" t="n">
        <v>1718</v>
      </c>
      <c r="B10" s="1" t="s">
        <v>114</v>
      </c>
      <c r="C10" s="1" t="s">
        <v>115</v>
      </c>
      <c r="D10" s="1" t="s">
        <v>116</v>
      </c>
      <c r="E10" s="1" t="s">
        <v>117</v>
      </c>
      <c r="F10" s="6" t="n">
        <v>127.4</v>
      </c>
      <c r="G10" s="6" t="n">
        <v>119.9</v>
      </c>
      <c r="H10" s="6" t="n">
        <v>93.2</v>
      </c>
      <c r="I10" s="6" t="n">
        <v>99.2</v>
      </c>
      <c r="J10" s="6" t="n">
        <v>112.3</v>
      </c>
      <c r="K10" s="6" t="n">
        <v>110</v>
      </c>
      <c r="L10" s="6" t="n">
        <v>124.1</v>
      </c>
      <c r="M10" s="6" t="n">
        <v>89.5</v>
      </c>
      <c r="N10" s="6" t="n">
        <v>110.2</v>
      </c>
      <c r="O10" s="6" t="n">
        <v>126.2</v>
      </c>
      <c r="P10" s="6" t="n">
        <v>115.5</v>
      </c>
      <c r="Q10" s="6" t="n">
        <v>118.3</v>
      </c>
      <c r="R10" s="6" t="n">
        <v>123.8</v>
      </c>
      <c r="S10" s="6" t="n">
        <v>144.6</v>
      </c>
      <c r="T10" s="6" t="n">
        <v>117.3</v>
      </c>
    </row>
    <row r="11" customFormat="false" ht="15.75" hidden="false" customHeight="true" outlineLevel="0" collapsed="false">
      <c r="A11" s="1" t="n">
        <v>1722</v>
      </c>
      <c r="B11" s="1" t="s">
        <v>118</v>
      </c>
      <c r="C11" s="1" t="s">
        <v>119</v>
      </c>
      <c r="D11" s="1" t="s">
        <v>120</v>
      </c>
      <c r="E11" s="1" t="s">
        <v>121</v>
      </c>
      <c r="F11" s="6" t="n">
        <v>103.6</v>
      </c>
      <c r="G11" s="6" t="n">
        <v>99.6</v>
      </c>
      <c r="H11" s="6" t="n">
        <v>202.6</v>
      </c>
      <c r="I11" s="6" t="n">
        <v>106.8</v>
      </c>
      <c r="J11" s="6" t="n">
        <v>112.3</v>
      </c>
      <c r="K11" s="6" t="n">
        <v>99.4</v>
      </c>
      <c r="L11" s="6" t="n">
        <v>126.4</v>
      </c>
      <c r="M11" s="6" t="n">
        <v>112</v>
      </c>
      <c r="N11" s="6" t="n">
        <v>111.7</v>
      </c>
      <c r="O11" s="6" t="n">
        <v>111.5</v>
      </c>
      <c r="P11" s="6" t="n">
        <v>136.2</v>
      </c>
      <c r="Q11" s="6" t="n">
        <v>116.8</v>
      </c>
      <c r="R11" s="6" t="n">
        <v>100.2</v>
      </c>
      <c r="S11" s="6" t="n">
        <v>105.5</v>
      </c>
      <c r="T11" s="6" t="n">
        <v>103.2</v>
      </c>
    </row>
    <row r="12" customFormat="false" ht="15.75" hidden="false" customHeight="true" outlineLevel="0" collapsed="false">
      <c r="A12" s="1" t="n">
        <v>1724</v>
      </c>
      <c r="B12" s="1" t="s">
        <v>122</v>
      </c>
      <c r="C12" s="1" t="s">
        <v>123</v>
      </c>
      <c r="D12" s="1" t="s">
        <v>124</v>
      </c>
      <c r="E12" s="1" t="s">
        <v>125</v>
      </c>
      <c r="F12" s="6" t="n">
        <v>151.3</v>
      </c>
      <c r="G12" s="6" t="n">
        <v>122</v>
      </c>
      <c r="H12" s="6" t="n">
        <v>114.6</v>
      </c>
      <c r="I12" s="6" t="n">
        <v>101.4</v>
      </c>
      <c r="J12" s="6" t="n">
        <v>98.4</v>
      </c>
      <c r="K12" s="6" t="n">
        <v>117.1</v>
      </c>
      <c r="L12" s="6" t="n">
        <v>119.7</v>
      </c>
      <c r="M12" s="6" t="n">
        <v>93.1</v>
      </c>
      <c r="N12" s="6" t="n">
        <v>115</v>
      </c>
      <c r="O12" s="6" t="n">
        <v>152.5</v>
      </c>
      <c r="P12" s="6" t="n">
        <v>91.2</v>
      </c>
      <c r="Q12" s="6" t="n">
        <v>110.6</v>
      </c>
      <c r="R12" s="6" t="n">
        <v>118.1</v>
      </c>
      <c r="S12" s="6" t="n">
        <v>123.1</v>
      </c>
      <c r="T12" s="6" t="n">
        <v>112</v>
      </c>
    </row>
    <row r="13" customFormat="false" ht="15.75" hidden="false" customHeight="true" outlineLevel="0" collapsed="false">
      <c r="A13" s="1" t="n">
        <v>1727</v>
      </c>
      <c r="B13" s="1" t="s">
        <v>126</v>
      </c>
      <c r="C13" s="1" t="s">
        <v>127</v>
      </c>
      <c r="D13" s="1" t="s">
        <v>128</v>
      </c>
      <c r="E13" s="1" t="s">
        <v>129</v>
      </c>
      <c r="F13" s="6" t="n">
        <v>155.2</v>
      </c>
      <c r="G13" s="6" t="n">
        <v>112.5</v>
      </c>
      <c r="H13" s="6" t="n">
        <v>95.3</v>
      </c>
      <c r="I13" s="6" t="n">
        <v>108.4</v>
      </c>
      <c r="J13" s="6" t="n">
        <v>125.6</v>
      </c>
      <c r="K13" s="6" t="n">
        <v>95.3</v>
      </c>
      <c r="L13" s="6" t="n">
        <v>110.8</v>
      </c>
      <c r="M13" s="6" t="n">
        <v>83.1</v>
      </c>
      <c r="N13" s="6" t="n">
        <v>122.1</v>
      </c>
      <c r="O13" s="6" t="n">
        <v>130.7</v>
      </c>
      <c r="P13" s="6" t="n">
        <v>123.3</v>
      </c>
      <c r="Q13" s="6" t="n">
        <v>105.7</v>
      </c>
      <c r="R13" s="6" t="n">
        <v>161.1</v>
      </c>
      <c r="S13" s="6" t="n">
        <v>123.1</v>
      </c>
      <c r="T13" s="6" t="n">
        <v>117.8</v>
      </c>
    </row>
    <row r="14" customFormat="false" ht="15.75" hidden="false" customHeight="true" outlineLevel="0" collapsed="false">
      <c r="A14" s="1" t="n">
        <v>1730</v>
      </c>
      <c r="B14" s="1" t="s">
        <v>130</v>
      </c>
      <c r="C14" s="1" t="s">
        <v>131</v>
      </c>
      <c r="D14" s="1" t="s">
        <v>132</v>
      </c>
      <c r="E14" s="1" t="s">
        <v>133</v>
      </c>
      <c r="F14" s="6" t="n">
        <v>131.5</v>
      </c>
      <c r="G14" s="6" t="n">
        <v>115.9</v>
      </c>
      <c r="H14" s="6" t="n">
        <v>116.4</v>
      </c>
      <c r="I14" s="6" t="n">
        <v>97.9</v>
      </c>
      <c r="J14" s="6" t="n">
        <v>98.2</v>
      </c>
      <c r="K14" s="6" t="n">
        <v>117.3</v>
      </c>
      <c r="L14" s="6" t="n">
        <v>108</v>
      </c>
      <c r="M14" s="6" t="n">
        <v>95.4</v>
      </c>
      <c r="N14" s="6" t="n">
        <v>140.1</v>
      </c>
      <c r="O14" s="6" t="n">
        <v>129.1</v>
      </c>
      <c r="P14" s="6" t="n">
        <v>117.9</v>
      </c>
      <c r="Q14" s="6" t="n">
        <v>125.6</v>
      </c>
      <c r="R14" s="6" t="n">
        <v>128.3</v>
      </c>
      <c r="S14" s="6" t="n">
        <v>110</v>
      </c>
      <c r="T14" s="6" t="n">
        <v>114.4</v>
      </c>
    </row>
    <row r="15" customFormat="false" ht="15.75" hidden="false" customHeight="true" outlineLevel="0" collapsed="false">
      <c r="A15" s="1" t="n">
        <v>1733</v>
      </c>
      <c r="B15" s="1" t="s">
        <v>134</v>
      </c>
      <c r="C15" s="1" t="s">
        <v>135</v>
      </c>
      <c r="D15" s="1" t="s">
        <v>136</v>
      </c>
      <c r="E15" s="1" t="s">
        <v>137</v>
      </c>
      <c r="F15" s="6" t="n">
        <v>120.6</v>
      </c>
      <c r="G15" s="6" t="n">
        <v>124.5</v>
      </c>
      <c r="H15" s="6" t="n">
        <v>101.2</v>
      </c>
      <c r="I15" s="6" t="n">
        <v>105.5</v>
      </c>
      <c r="J15" s="6" t="n">
        <v>102.2</v>
      </c>
      <c r="K15" s="6" t="n">
        <v>101.4</v>
      </c>
      <c r="L15" s="6" t="n">
        <v>96.7</v>
      </c>
      <c r="M15" s="6" t="n">
        <v>99.8</v>
      </c>
      <c r="N15" s="6" t="n">
        <v>148.4</v>
      </c>
      <c r="O15" s="6" t="n">
        <v>111.4</v>
      </c>
      <c r="P15" s="6" t="n">
        <v>136.8</v>
      </c>
      <c r="Q15" s="6" t="n">
        <v>113.5</v>
      </c>
      <c r="R15" s="6" t="n">
        <v>136</v>
      </c>
      <c r="S15" s="6" t="n">
        <v>106.8</v>
      </c>
      <c r="T15" s="6" t="n">
        <v>113.8</v>
      </c>
    </row>
    <row r="16" customFormat="false" ht="15.75" hidden="false" customHeight="true" outlineLevel="0" collapsed="false">
      <c r="A16" s="1" t="n">
        <v>1726</v>
      </c>
      <c r="B16" s="1" t="s">
        <v>138</v>
      </c>
      <c r="C16" s="1" t="s">
        <v>139</v>
      </c>
      <c r="D16" s="1" t="s">
        <v>140</v>
      </c>
      <c r="E16" s="1" t="s">
        <v>141</v>
      </c>
      <c r="F16" s="6" t="n">
        <v>124.9</v>
      </c>
      <c r="G16" s="6" t="n">
        <v>102.4</v>
      </c>
      <c r="H16" s="6" t="n">
        <v>141</v>
      </c>
      <c r="I16" s="6" t="n">
        <v>120.6</v>
      </c>
      <c r="J16" s="6" t="n">
        <v>106.2</v>
      </c>
      <c r="K16" s="6" t="n">
        <v>112.8</v>
      </c>
      <c r="L16" s="6" t="n">
        <v>114.4</v>
      </c>
      <c r="M16" s="6" t="n">
        <v>95.8</v>
      </c>
      <c r="N16" s="6" t="n">
        <v>124.3</v>
      </c>
      <c r="O16" s="6" t="n">
        <v>142.1</v>
      </c>
      <c r="P16" s="6" t="n">
        <v>138.6</v>
      </c>
      <c r="Q16" s="6" t="n">
        <v>135.5</v>
      </c>
      <c r="R16" s="6" t="n">
        <v>117</v>
      </c>
      <c r="S16" s="6" t="n">
        <v>114.7</v>
      </c>
      <c r="T16" s="6" t="n">
        <v>109.3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E26" activeCellId="0" sqref="E26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.83"/>
    <col collapsed="false" customWidth="true" hidden="false" outlineLevel="0" max="3" min="3" style="1" width="25.16"/>
    <col collapsed="false" customWidth="true" hidden="false" outlineLevel="0" max="4" min="4" style="1" width="23.16"/>
    <col collapsed="false" customWidth="true" hidden="false" outlineLevel="0" max="5" min="5" style="1" width="28.33"/>
    <col collapsed="false" customWidth="true" hidden="false" outlineLevel="0" max="82" min="6" style="1" width="11.83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107.5</v>
      </c>
      <c r="G2" s="6" t="n">
        <v>108.5</v>
      </c>
      <c r="H2" s="6" t="n">
        <v>100.5</v>
      </c>
      <c r="I2" s="6" t="n">
        <v>92.7</v>
      </c>
      <c r="J2" s="6" t="n">
        <v>90.5</v>
      </c>
      <c r="K2" s="6" t="n">
        <v>94.9</v>
      </c>
      <c r="L2" s="6" t="n">
        <v>93.2</v>
      </c>
      <c r="M2" s="6" t="n">
        <v>94.4</v>
      </c>
      <c r="N2" s="6" t="n">
        <v>97.2</v>
      </c>
      <c r="O2" s="6" t="n">
        <v>100.5</v>
      </c>
      <c r="P2" s="6" t="n">
        <v>101.4</v>
      </c>
      <c r="Q2" s="6" t="n">
        <v>106.2</v>
      </c>
      <c r="R2" s="6" t="n">
        <v>109.7</v>
      </c>
      <c r="S2" s="6" t="n">
        <v>107.3</v>
      </c>
      <c r="T2" s="6" t="n">
        <v>109</v>
      </c>
      <c r="U2" s="6" t="n">
        <v>106.2</v>
      </c>
      <c r="V2" s="6" t="n">
        <v>111.7</v>
      </c>
      <c r="W2" s="6" t="n">
        <v>109.3</v>
      </c>
      <c r="X2" s="6" t="n">
        <v>110.2</v>
      </c>
      <c r="Y2" s="6" t="n">
        <v>110.9</v>
      </c>
      <c r="Z2" s="6" t="n">
        <v>111.1</v>
      </c>
      <c r="AA2" s="6" t="n">
        <v>112.2</v>
      </c>
      <c r="AB2" s="6" t="n">
        <v>113.8</v>
      </c>
      <c r="AC2" s="6" t="n">
        <v>128.5</v>
      </c>
      <c r="AD2" s="6" t="n">
        <v>111.4</v>
      </c>
      <c r="AE2" s="6" t="n">
        <v>112.4</v>
      </c>
      <c r="AF2" s="6" t="n">
        <v>114.5</v>
      </c>
      <c r="AG2" s="6" t="n">
        <v>119</v>
      </c>
      <c r="AH2" s="6" t="n">
        <v>118.6</v>
      </c>
      <c r="AI2" s="6" t="n">
        <v>122.8</v>
      </c>
      <c r="AJ2" s="6" t="n">
        <v>120</v>
      </c>
      <c r="AK2" s="6" t="n">
        <v>119.1</v>
      </c>
      <c r="AL2" s="6" t="n">
        <v>118.4</v>
      </c>
      <c r="AM2" s="6" t="n">
        <v>126</v>
      </c>
      <c r="AN2" s="6" t="n">
        <v>126.9</v>
      </c>
      <c r="AO2" s="6" t="n">
        <v>126.8</v>
      </c>
      <c r="AP2" s="6" t="n">
        <v>103.3</v>
      </c>
      <c r="AQ2" s="6" t="n">
        <v>106.9</v>
      </c>
      <c r="AR2" s="6" t="n">
        <v>108.8</v>
      </c>
      <c r="AS2" s="6" t="n">
        <v>107.5</v>
      </c>
      <c r="AT2" s="6" t="n">
        <v>110.9</v>
      </c>
      <c r="AU2" s="6" t="n">
        <v>108.8</v>
      </c>
      <c r="AV2" s="6" t="n">
        <v>110.5</v>
      </c>
      <c r="AW2" s="6" t="n">
        <v>111.2</v>
      </c>
      <c r="AX2" s="6" t="n">
        <v>112.2</v>
      </c>
      <c r="AY2" s="6" t="n">
        <v>112.5</v>
      </c>
      <c r="AZ2" s="6" t="n">
        <v>113</v>
      </c>
      <c r="BA2" s="6" t="n">
        <v>112.2</v>
      </c>
      <c r="BB2" s="6" t="n">
        <v>113.5</v>
      </c>
      <c r="BC2" s="6" t="n">
        <v>112.9</v>
      </c>
      <c r="BD2" s="6" t="n">
        <v>112.8</v>
      </c>
      <c r="BE2" s="6" t="n">
        <v>112.3</v>
      </c>
      <c r="BF2" s="6" t="n">
        <v>111.4</v>
      </c>
      <c r="BG2" s="6" t="n">
        <v>110.6</v>
      </c>
      <c r="BH2" s="6" t="n">
        <v>110.1</v>
      </c>
      <c r="BI2" s="6" t="n">
        <v>110.4</v>
      </c>
      <c r="BJ2" s="6" t="n">
        <v>110</v>
      </c>
      <c r="BK2" s="6" t="n">
        <v>110.6</v>
      </c>
      <c r="BL2" s="6" t="n">
        <v>111.1</v>
      </c>
      <c r="BM2" s="6" t="n">
        <v>111.4</v>
      </c>
      <c r="BN2" s="6" t="n">
        <v>110.6</v>
      </c>
      <c r="BO2" s="6" t="n">
        <v>112.3</v>
      </c>
      <c r="BP2" s="6" t="n">
        <v>110.7</v>
      </c>
      <c r="BQ2" s="6" t="n">
        <v>110.1</v>
      </c>
      <c r="BR2" s="6" t="n">
        <v>109.8</v>
      </c>
      <c r="BS2" s="6" t="n">
        <v>112.4</v>
      </c>
      <c r="BT2" s="6" t="n">
        <v>112.1</v>
      </c>
      <c r="BU2" s="6" t="n">
        <v>112.4</v>
      </c>
      <c r="BV2" s="6" t="n">
        <v>112.6</v>
      </c>
      <c r="BW2" s="6" t="n">
        <v>112.2</v>
      </c>
      <c r="BX2" s="6" t="n">
        <v>112.8</v>
      </c>
      <c r="BY2" s="6" t="n">
        <v>112.5</v>
      </c>
      <c r="BZ2" s="6" t="n">
        <v>115.6</v>
      </c>
      <c r="CA2" s="6" t="n">
        <v>116.5</v>
      </c>
      <c r="CB2" s="6" t="n">
        <v>110.9</v>
      </c>
      <c r="CC2" s="6" t="n">
        <v>112.7</v>
      </c>
      <c r="CD2" s="6" t="n">
        <v>115.4</v>
      </c>
    </row>
    <row r="3" customFormat="false" ht="15.75" hidden="false" customHeight="true" outlineLevel="0" collapsed="false">
      <c r="A3" s="1" t="n">
        <v>1735</v>
      </c>
      <c r="B3" s="1" t="s">
        <v>86</v>
      </c>
      <c r="C3" s="1" t="s">
        <v>87</v>
      </c>
      <c r="D3" s="1" t="s">
        <v>88</v>
      </c>
      <c r="E3" s="1" t="s">
        <v>89</v>
      </c>
      <c r="F3" s="6" t="n">
        <v>92.2</v>
      </c>
      <c r="G3" s="6" t="n">
        <v>90.7</v>
      </c>
      <c r="H3" s="6" t="n">
        <v>92.5</v>
      </c>
      <c r="I3" s="6" t="n">
        <v>90.5</v>
      </c>
      <c r="J3" s="6" t="n">
        <v>88.3</v>
      </c>
      <c r="K3" s="6" t="n">
        <v>89.1</v>
      </c>
      <c r="L3" s="6" t="n">
        <v>86.9</v>
      </c>
      <c r="M3" s="6" t="n">
        <v>86.3</v>
      </c>
      <c r="N3" s="6" t="n">
        <v>89.8</v>
      </c>
      <c r="O3" s="6" t="n">
        <v>91.2</v>
      </c>
      <c r="P3" s="6" t="n">
        <v>91.8</v>
      </c>
      <c r="Q3" s="6" t="n">
        <v>98.1</v>
      </c>
      <c r="R3" s="6" t="n">
        <v>92.7</v>
      </c>
      <c r="S3" s="6" t="n">
        <v>84.6</v>
      </c>
      <c r="T3" s="6" t="n">
        <v>86.1</v>
      </c>
      <c r="U3" s="6" t="n">
        <v>86.5</v>
      </c>
      <c r="V3" s="6" t="n">
        <v>86.5</v>
      </c>
      <c r="W3" s="6" t="n">
        <v>88.1</v>
      </c>
      <c r="X3" s="6" t="n">
        <v>90</v>
      </c>
      <c r="Y3" s="6" t="n">
        <v>92.4</v>
      </c>
      <c r="Z3" s="6" t="n">
        <v>92.9</v>
      </c>
      <c r="AA3" s="6" t="n">
        <v>93.6</v>
      </c>
      <c r="AB3" s="6" t="n">
        <v>95.4</v>
      </c>
      <c r="AC3" s="6" t="n">
        <v>105.3</v>
      </c>
      <c r="AD3" s="6" t="n">
        <v>97.4</v>
      </c>
      <c r="AE3" s="6" t="n">
        <v>99.3</v>
      </c>
      <c r="AF3" s="6" t="n">
        <v>99.2</v>
      </c>
      <c r="AG3" s="6" t="n">
        <v>102</v>
      </c>
      <c r="AH3" s="6" t="n">
        <v>100.4</v>
      </c>
      <c r="AI3" s="6" t="n">
        <v>101.6</v>
      </c>
      <c r="AJ3" s="6" t="n">
        <v>103.4</v>
      </c>
      <c r="AK3" s="6" t="n">
        <v>103.6</v>
      </c>
      <c r="AL3" s="6" t="n">
        <v>104.3</v>
      </c>
      <c r="AM3" s="6" t="n">
        <v>106.3</v>
      </c>
      <c r="AN3" s="6" t="n">
        <v>104.2</v>
      </c>
      <c r="AO3" s="6" t="n">
        <v>106.2</v>
      </c>
      <c r="AP3" s="6" t="n">
        <v>88.9</v>
      </c>
      <c r="AQ3" s="6" t="n">
        <v>93</v>
      </c>
      <c r="AR3" s="6" t="n">
        <v>101.1</v>
      </c>
      <c r="AS3" s="6" t="n">
        <v>101.9</v>
      </c>
      <c r="AT3" s="6" t="n">
        <v>105.6</v>
      </c>
      <c r="AU3" s="6" t="n">
        <v>106.4</v>
      </c>
      <c r="AV3" s="6" t="n">
        <v>108.4</v>
      </c>
      <c r="AW3" s="6" t="n">
        <v>107.8</v>
      </c>
      <c r="AX3" s="6" t="n">
        <v>108.1</v>
      </c>
      <c r="AY3" s="6" t="n">
        <v>108.4</v>
      </c>
      <c r="AZ3" s="6" t="n">
        <v>108.5</v>
      </c>
      <c r="BA3" s="6" t="n">
        <v>108.4</v>
      </c>
      <c r="BB3" s="6" t="n">
        <v>109.8</v>
      </c>
      <c r="BC3" s="6" t="n">
        <v>109.5</v>
      </c>
      <c r="BD3" s="6" t="n">
        <v>118.4</v>
      </c>
      <c r="BE3" s="6" t="n">
        <v>113.2</v>
      </c>
      <c r="BF3" s="6" t="n">
        <v>111.9</v>
      </c>
      <c r="BG3" s="6" t="n">
        <v>111.5</v>
      </c>
      <c r="BH3" s="6" t="n">
        <v>113.7</v>
      </c>
      <c r="BI3" s="6" t="n">
        <v>113.2</v>
      </c>
      <c r="BJ3" s="6" t="n">
        <v>113.5</v>
      </c>
      <c r="BK3" s="6" t="n">
        <v>113.7</v>
      </c>
      <c r="BL3" s="6" t="n">
        <v>114.2</v>
      </c>
      <c r="BM3" s="6" t="n">
        <v>111.8</v>
      </c>
      <c r="BN3" s="6" t="n">
        <v>107.9</v>
      </c>
      <c r="BO3" s="6" t="n">
        <v>110.1</v>
      </c>
      <c r="BP3" s="6" t="n">
        <v>108.2</v>
      </c>
      <c r="BQ3" s="6" t="n">
        <v>107.7</v>
      </c>
      <c r="BR3" s="6" t="n">
        <v>107</v>
      </c>
      <c r="BS3" s="6" t="n">
        <v>107</v>
      </c>
      <c r="BT3" s="6" t="n">
        <v>105.4</v>
      </c>
      <c r="BU3" s="6" t="n">
        <v>105.8</v>
      </c>
      <c r="BV3" s="6" t="n">
        <v>106.6</v>
      </c>
      <c r="BW3" s="6" t="n">
        <v>105.9</v>
      </c>
      <c r="BX3" s="6" t="n">
        <v>106.4</v>
      </c>
      <c r="BY3" s="6" t="n">
        <v>109.1</v>
      </c>
      <c r="BZ3" s="6" t="n">
        <v>111.5</v>
      </c>
      <c r="CA3" s="6" t="n">
        <v>104.7</v>
      </c>
      <c r="CB3" s="6" t="n">
        <v>90.7</v>
      </c>
      <c r="CC3" s="6" t="n">
        <v>108.3</v>
      </c>
      <c r="CD3" s="6" t="n">
        <v>107.4</v>
      </c>
    </row>
    <row r="4" customFormat="false" ht="15.75" hidden="false" customHeight="true" outlineLevel="0" collapsed="false">
      <c r="A4" s="1" t="n">
        <v>1703</v>
      </c>
      <c r="B4" s="1" t="s">
        <v>90</v>
      </c>
      <c r="C4" s="1" t="s">
        <v>91</v>
      </c>
      <c r="D4" s="1" t="s">
        <v>92</v>
      </c>
      <c r="E4" s="1" t="s">
        <v>93</v>
      </c>
      <c r="F4" s="6" t="n">
        <v>113.9</v>
      </c>
      <c r="G4" s="6" t="n">
        <v>120.6</v>
      </c>
      <c r="H4" s="6" t="n">
        <v>108</v>
      </c>
      <c r="I4" s="6" t="n">
        <v>99.6</v>
      </c>
      <c r="J4" s="6" t="n">
        <v>99.7</v>
      </c>
      <c r="K4" s="6" t="n">
        <v>100.6</v>
      </c>
      <c r="L4" s="6" t="n">
        <v>96</v>
      </c>
      <c r="M4" s="6" t="n">
        <v>96.5</v>
      </c>
      <c r="N4" s="6" t="n">
        <v>97.9</v>
      </c>
      <c r="O4" s="6" t="n">
        <v>142.4</v>
      </c>
      <c r="P4" s="6" t="n">
        <v>144.2</v>
      </c>
      <c r="Q4" s="6" t="n">
        <v>141.1</v>
      </c>
      <c r="R4" s="6" t="n">
        <v>110.9</v>
      </c>
      <c r="S4" s="6" t="n">
        <v>97.6</v>
      </c>
      <c r="T4" s="6" t="n">
        <v>95.5</v>
      </c>
      <c r="U4" s="6" t="n">
        <v>90.9</v>
      </c>
      <c r="V4" s="6" t="n">
        <v>96.8</v>
      </c>
      <c r="W4" s="6" t="n">
        <v>102.3</v>
      </c>
      <c r="X4" s="6" t="n">
        <v>98.3</v>
      </c>
      <c r="Y4" s="6" t="n">
        <v>99.3</v>
      </c>
      <c r="Z4" s="6" t="n">
        <v>97.9</v>
      </c>
      <c r="AA4" s="6" t="n">
        <v>94.4</v>
      </c>
      <c r="AB4" s="6" t="n">
        <v>96.7</v>
      </c>
      <c r="AC4" s="6" t="n">
        <v>109.8</v>
      </c>
      <c r="AD4" s="6" t="n">
        <v>83</v>
      </c>
      <c r="AE4" s="6" t="n">
        <v>85.6</v>
      </c>
      <c r="AF4" s="6" t="n">
        <v>86</v>
      </c>
      <c r="AG4" s="6" t="n">
        <v>97.1</v>
      </c>
      <c r="AH4" s="6" t="n">
        <v>92.7</v>
      </c>
      <c r="AI4" s="6" t="n">
        <v>91.8</v>
      </c>
      <c r="AJ4" s="6" t="n">
        <v>94.7</v>
      </c>
      <c r="AK4" s="6" t="n">
        <v>95.3</v>
      </c>
      <c r="AL4" s="6" t="n">
        <v>98.9</v>
      </c>
      <c r="AM4" s="6" t="n">
        <v>114.9</v>
      </c>
      <c r="AN4" s="6" t="n">
        <v>114.4</v>
      </c>
      <c r="AO4" s="6" t="n">
        <v>110</v>
      </c>
      <c r="AP4" s="6" t="n">
        <v>97.3</v>
      </c>
      <c r="AQ4" s="6" t="n">
        <v>97.9</v>
      </c>
      <c r="AR4" s="6" t="n">
        <v>102.5</v>
      </c>
      <c r="AS4" s="6" t="n">
        <v>101.3</v>
      </c>
      <c r="AT4" s="6" t="n">
        <v>106.4</v>
      </c>
      <c r="AU4" s="6" t="n">
        <v>106.6</v>
      </c>
      <c r="AV4" s="6" t="n">
        <v>106.7</v>
      </c>
      <c r="AW4" s="6" t="n">
        <v>107.1</v>
      </c>
      <c r="AX4" s="6" t="n">
        <v>107.4</v>
      </c>
      <c r="AY4" s="6" t="n">
        <v>107.8</v>
      </c>
      <c r="AZ4" s="6" t="n">
        <v>110.1</v>
      </c>
      <c r="BA4" s="6" t="n">
        <v>109.6</v>
      </c>
      <c r="BB4" s="6" t="n">
        <v>110.7</v>
      </c>
      <c r="BC4" s="6" t="n">
        <v>113.2</v>
      </c>
      <c r="BD4" s="6" t="n">
        <v>112.6</v>
      </c>
      <c r="BE4" s="6" t="n">
        <v>111.7</v>
      </c>
      <c r="BF4" s="6" t="n">
        <v>110</v>
      </c>
      <c r="BG4" s="6" t="n">
        <v>108.5</v>
      </c>
      <c r="BH4" s="6" t="n">
        <v>109.6</v>
      </c>
      <c r="BI4" s="6" t="n">
        <v>110.3</v>
      </c>
      <c r="BJ4" s="6" t="n">
        <v>109.1</v>
      </c>
      <c r="BK4" s="6" t="n">
        <v>110.6</v>
      </c>
      <c r="BL4" s="6" t="n">
        <v>110.2</v>
      </c>
      <c r="BM4" s="6" t="n">
        <v>109.3</v>
      </c>
      <c r="BN4" s="6" t="n">
        <v>109.7</v>
      </c>
      <c r="BO4" s="6" t="n">
        <v>110.8</v>
      </c>
      <c r="BP4" s="6" t="n">
        <v>108.2</v>
      </c>
      <c r="BQ4" s="6" t="n">
        <v>107.2</v>
      </c>
      <c r="BR4" s="6" t="n">
        <v>106.1</v>
      </c>
      <c r="BS4" s="6" t="n">
        <v>106.4</v>
      </c>
      <c r="BT4" s="6" t="n">
        <v>107.7</v>
      </c>
      <c r="BU4" s="6" t="n">
        <v>107.9</v>
      </c>
      <c r="BV4" s="6" t="n">
        <v>107.5</v>
      </c>
      <c r="BW4" s="6" t="n">
        <v>106.8</v>
      </c>
      <c r="BX4" s="6" t="n">
        <v>108.4</v>
      </c>
      <c r="BY4" s="6" t="n">
        <v>107.2</v>
      </c>
      <c r="BZ4" s="6" t="n">
        <v>114.5</v>
      </c>
      <c r="CA4" s="6" t="n">
        <v>119.3</v>
      </c>
      <c r="CB4" s="6" t="n">
        <v>113.5</v>
      </c>
      <c r="CC4" s="6" t="n">
        <v>116.7</v>
      </c>
      <c r="CD4" s="6" t="n">
        <v>115.6</v>
      </c>
    </row>
    <row r="5" customFormat="false" ht="15.75" hidden="false" customHeight="true" outlineLevel="0" collapsed="false">
      <c r="A5" s="1" t="n">
        <v>1706</v>
      </c>
      <c r="B5" s="1" t="s">
        <v>94</v>
      </c>
      <c r="C5" s="1" t="s">
        <v>95</v>
      </c>
      <c r="D5" s="1" t="s">
        <v>96</v>
      </c>
      <c r="E5" s="1" t="s">
        <v>97</v>
      </c>
      <c r="F5" s="6" t="n">
        <v>85.7</v>
      </c>
      <c r="G5" s="6" t="n">
        <v>90.3</v>
      </c>
      <c r="H5" s="6" t="n">
        <v>93.9</v>
      </c>
      <c r="I5" s="6" t="n">
        <v>87.8</v>
      </c>
      <c r="J5" s="6" t="n">
        <v>84.8</v>
      </c>
      <c r="K5" s="6" t="n">
        <v>82.3</v>
      </c>
      <c r="L5" s="6" t="n">
        <v>76.8</v>
      </c>
      <c r="M5" s="6" t="n">
        <v>77.9</v>
      </c>
      <c r="N5" s="6" t="n">
        <v>80.5</v>
      </c>
      <c r="O5" s="6" t="n">
        <v>78</v>
      </c>
      <c r="P5" s="6" t="n">
        <v>80.2</v>
      </c>
      <c r="Q5" s="6" t="n">
        <v>101.3</v>
      </c>
      <c r="R5" s="6" t="n">
        <v>127.3</v>
      </c>
      <c r="S5" s="6" t="n">
        <v>129.8</v>
      </c>
      <c r="T5" s="6" t="n">
        <v>109.4</v>
      </c>
      <c r="U5" s="6" t="n">
        <v>116.4</v>
      </c>
      <c r="V5" s="6" t="n">
        <v>145</v>
      </c>
      <c r="W5" s="6" t="n">
        <v>132.6</v>
      </c>
      <c r="X5" s="6" t="n">
        <v>130.3</v>
      </c>
      <c r="Y5" s="6" t="n">
        <v>129.1</v>
      </c>
      <c r="Z5" s="6" t="n">
        <v>126.3</v>
      </c>
      <c r="AA5" s="6" t="n">
        <v>133.8</v>
      </c>
      <c r="AB5" s="6" t="n">
        <v>137.3</v>
      </c>
      <c r="AC5" s="6" t="n">
        <v>136</v>
      </c>
      <c r="AD5" s="6" t="n">
        <v>107.5</v>
      </c>
      <c r="AE5" s="6" t="n">
        <v>115.9</v>
      </c>
      <c r="AF5" s="6" t="n">
        <v>137.8</v>
      </c>
      <c r="AG5" s="6" t="n">
        <v>156.1</v>
      </c>
      <c r="AH5" s="6" t="n">
        <v>151.6</v>
      </c>
      <c r="AI5" s="6" t="n">
        <v>172.4</v>
      </c>
      <c r="AJ5" s="6" t="n">
        <v>160.4</v>
      </c>
      <c r="AK5" s="6" t="n">
        <v>149.3</v>
      </c>
      <c r="AL5" s="6" t="n">
        <v>141.5</v>
      </c>
      <c r="AM5" s="6" t="n">
        <v>145.5</v>
      </c>
      <c r="AN5" s="6" t="n">
        <v>143.6</v>
      </c>
      <c r="AO5" s="6" t="n">
        <v>150.9</v>
      </c>
      <c r="AP5" s="6" t="n">
        <v>107.6</v>
      </c>
      <c r="AQ5" s="6" t="n">
        <v>111.7</v>
      </c>
      <c r="AR5" s="6" t="n">
        <v>105.6</v>
      </c>
      <c r="AS5" s="6" t="n">
        <v>103.4</v>
      </c>
      <c r="AT5" s="6" t="n">
        <v>107.4</v>
      </c>
      <c r="AU5" s="6" t="n">
        <v>94</v>
      </c>
      <c r="AV5" s="6" t="n">
        <v>100.8</v>
      </c>
      <c r="AW5" s="6" t="n">
        <v>104.1</v>
      </c>
      <c r="AX5" s="6" t="n">
        <v>106.4</v>
      </c>
      <c r="AY5" s="6" t="n">
        <v>106.7</v>
      </c>
      <c r="AZ5" s="6" t="n">
        <v>107.5</v>
      </c>
      <c r="BA5" s="6" t="n">
        <v>107.5</v>
      </c>
      <c r="BB5" s="6" t="n">
        <v>108.9</v>
      </c>
      <c r="BC5" s="6" t="n">
        <v>103.5</v>
      </c>
      <c r="BD5" s="6" t="n">
        <v>116.3</v>
      </c>
      <c r="BE5" s="6" t="n">
        <v>113.8</v>
      </c>
      <c r="BF5" s="6" t="n">
        <v>108.9</v>
      </c>
      <c r="BG5" s="6" t="n">
        <v>108.2</v>
      </c>
      <c r="BH5" s="6" t="n">
        <v>105.9</v>
      </c>
      <c r="BI5" s="6" t="n">
        <v>104.5</v>
      </c>
      <c r="BJ5" s="6" t="n">
        <v>106.1</v>
      </c>
      <c r="BK5" s="6" t="n">
        <v>103.1</v>
      </c>
      <c r="BL5" s="6" t="n">
        <v>106.9</v>
      </c>
      <c r="BM5" s="6" t="n">
        <v>106.5</v>
      </c>
      <c r="BN5" s="6" t="n">
        <v>111.1</v>
      </c>
      <c r="BO5" s="6" t="n">
        <v>114.5</v>
      </c>
      <c r="BP5" s="6" t="n">
        <v>117.1</v>
      </c>
      <c r="BQ5" s="6" t="n">
        <v>114.3</v>
      </c>
      <c r="BR5" s="6" t="n">
        <v>112.5</v>
      </c>
      <c r="BS5" s="6" t="n">
        <v>114.4</v>
      </c>
      <c r="BT5" s="6" t="n">
        <v>113.6</v>
      </c>
      <c r="BU5" s="6" t="n">
        <v>113.3</v>
      </c>
      <c r="BV5" s="6" t="n">
        <v>113.8</v>
      </c>
      <c r="BW5" s="6" t="n">
        <v>113</v>
      </c>
      <c r="BX5" s="6" t="n">
        <v>113.4</v>
      </c>
      <c r="BY5" s="6" t="n">
        <v>111.8</v>
      </c>
      <c r="BZ5" s="6" t="n">
        <v>123.1</v>
      </c>
      <c r="CA5" s="6" t="n">
        <v>128.1</v>
      </c>
      <c r="CB5" s="6" t="n">
        <v>105.7</v>
      </c>
      <c r="CC5" s="6" t="n">
        <v>110.5</v>
      </c>
      <c r="CD5" s="6" t="n">
        <v>110.3</v>
      </c>
    </row>
    <row r="6" customFormat="false" ht="15.75" hidden="false" customHeight="true" outlineLevel="0" collapsed="false">
      <c r="A6" s="1" t="n">
        <v>1708</v>
      </c>
      <c r="B6" s="1" t="s">
        <v>98</v>
      </c>
      <c r="C6" s="1" t="s">
        <v>99</v>
      </c>
      <c r="D6" s="1" t="s">
        <v>100</v>
      </c>
      <c r="E6" s="1" t="s">
        <v>101</v>
      </c>
      <c r="F6" s="6" t="n">
        <v>97.4</v>
      </c>
      <c r="G6" s="6" t="n">
        <v>94.7</v>
      </c>
      <c r="H6" s="6" t="n">
        <v>86.8</v>
      </c>
      <c r="I6" s="6" t="n">
        <v>81.5</v>
      </c>
      <c r="J6" s="6" t="n">
        <v>78.4</v>
      </c>
      <c r="K6" s="6" t="n">
        <v>77</v>
      </c>
      <c r="L6" s="6" t="n">
        <v>67.8</v>
      </c>
      <c r="M6" s="6" t="n">
        <v>70.6</v>
      </c>
      <c r="N6" s="6" t="n">
        <v>73.7</v>
      </c>
      <c r="O6" s="6" t="n">
        <v>73.3</v>
      </c>
      <c r="P6" s="6" t="n">
        <v>75.5</v>
      </c>
      <c r="Q6" s="6" t="n">
        <v>83.7</v>
      </c>
      <c r="R6" s="6" t="n">
        <v>92.7</v>
      </c>
      <c r="S6" s="6" t="n">
        <v>86.9</v>
      </c>
      <c r="T6" s="6" t="n">
        <v>88.1</v>
      </c>
      <c r="U6" s="6" t="n">
        <v>91.8</v>
      </c>
      <c r="V6" s="6" t="n">
        <v>94.7</v>
      </c>
      <c r="W6" s="6" t="n">
        <v>102.1</v>
      </c>
      <c r="X6" s="6" t="n">
        <v>103.1</v>
      </c>
      <c r="Y6" s="6" t="n">
        <v>103.5</v>
      </c>
      <c r="Z6" s="6" t="n">
        <v>106</v>
      </c>
      <c r="AA6" s="6" t="n">
        <v>108.5</v>
      </c>
      <c r="AB6" s="6" t="n">
        <v>107.9</v>
      </c>
      <c r="AC6" s="6" t="n">
        <v>90.7</v>
      </c>
      <c r="AD6" s="6" t="n">
        <v>110.7</v>
      </c>
      <c r="AE6" s="6" t="n">
        <v>104.4</v>
      </c>
      <c r="AF6" s="6" t="n">
        <v>105.9</v>
      </c>
      <c r="AG6" s="6" t="n">
        <v>108.3</v>
      </c>
      <c r="AH6" s="6" t="n">
        <v>109.5</v>
      </c>
      <c r="AI6" s="6" t="n">
        <v>105.1</v>
      </c>
      <c r="AJ6" s="6" t="n">
        <v>105.7</v>
      </c>
      <c r="AK6" s="6" t="n">
        <v>107.9</v>
      </c>
      <c r="AL6" s="6" t="n">
        <v>107.4</v>
      </c>
      <c r="AM6" s="6" t="n">
        <v>111.4</v>
      </c>
      <c r="AN6" s="6" t="n">
        <v>108.3</v>
      </c>
      <c r="AO6" s="6" t="n">
        <v>109.2</v>
      </c>
      <c r="AP6" s="6" t="n">
        <v>95.9</v>
      </c>
      <c r="AQ6" s="6" t="n">
        <v>98.4</v>
      </c>
      <c r="AR6" s="6" t="n">
        <v>100.3</v>
      </c>
      <c r="AS6" s="6" t="n">
        <v>101</v>
      </c>
      <c r="AT6" s="6" t="n">
        <v>99.6</v>
      </c>
      <c r="AU6" s="6" t="n">
        <v>101</v>
      </c>
      <c r="AV6" s="6" t="n">
        <v>102.5</v>
      </c>
      <c r="AW6" s="6" t="n">
        <v>103.1</v>
      </c>
      <c r="AX6" s="6" t="n">
        <v>104.7</v>
      </c>
      <c r="AY6" s="6" t="n">
        <v>104.9</v>
      </c>
      <c r="AZ6" s="6" t="n">
        <v>107.2</v>
      </c>
      <c r="BA6" s="6" t="n">
        <v>106.6</v>
      </c>
      <c r="BB6" s="6" t="n">
        <v>104</v>
      </c>
      <c r="BC6" s="6" t="n">
        <v>104.5</v>
      </c>
      <c r="BD6" s="6" t="n">
        <v>103</v>
      </c>
      <c r="BE6" s="6" t="n">
        <v>103.4</v>
      </c>
      <c r="BF6" s="6" t="n">
        <v>106.2</v>
      </c>
      <c r="BG6" s="6" t="n">
        <v>197.3</v>
      </c>
      <c r="BH6" s="6" t="n">
        <v>153.3</v>
      </c>
      <c r="BI6" s="6" t="n">
        <v>154.6</v>
      </c>
      <c r="BJ6" s="6" t="n">
        <v>144.3</v>
      </c>
      <c r="BK6" s="6" t="n">
        <v>153.2</v>
      </c>
      <c r="BL6" s="6" t="n">
        <v>146.2</v>
      </c>
      <c r="BM6" s="6" t="n">
        <v>147.2</v>
      </c>
      <c r="BN6" s="6" t="n">
        <v>118.7</v>
      </c>
      <c r="BO6" s="6" t="n">
        <v>116.1</v>
      </c>
      <c r="BP6" s="6" t="n">
        <v>111.6</v>
      </c>
      <c r="BQ6" s="6" t="n">
        <v>111</v>
      </c>
      <c r="BR6" s="6" t="n">
        <v>130.6</v>
      </c>
      <c r="BS6" s="6" t="n">
        <v>132.2</v>
      </c>
      <c r="BT6" s="6" t="n">
        <v>142.2</v>
      </c>
      <c r="BU6" s="6" t="n">
        <v>145.2</v>
      </c>
      <c r="BV6" s="6" t="n">
        <v>105.7</v>
      </c>
      <c r="BW6" s="6" t="n">
        <v>107.1</v>
      </c>
      <c r="BX6" s="6" t="n">
        <v>105.8</v>
      </c>
      <c r="BY6" s="6" t="n">
        <v>106.7</v>
      </c>
      <c r="BZ6" s="6" t="n">
        <v>110</v>
      </c>
      <c r="CA6" s="6" t="n">
        <v>125.3</v>
      </c>
      <c r="CB6" s="6" t="n">
        <v>216.5</v>
      </c>
      <c r="CC6" s="6" t="n">
        <v>114.6</v>
      </c>
      <c r="CD6" s="6" t="n">
        <v>106.6</v>
      </c>
    </row>
    <row r="7" customFormat="false" ht="15.75" hidden="false" customHeight="true" outlineLevel="0" collapsed="false">
      <c r="A7" s="1" t="n">
        <v>1710</v>
      </c>
      <c r="B7" s="1" t="s">
        <v>102</v>
      </c>
      <c r="C7" s="1" t="s">
        <v>103</v>
      </c>
      <c r="D7" s="1" t="s">
        <v>104</v>
      </c>
      <c r="E7" s="1" t="s">
        <v>105</v>
      </c>
      <c r="F7" s="6" t="n">
        <v>94.5</v>
      </c>
      <c r="G7" s="6" t="n">
        <v>85.3</v>
      </c>
      <c r="H7" s="6" t="n">
        <v>75</v>
      </c>
      <c r="I7" s="6" t="n">
        <v>71.2</v>
      </c>
      <c r="J7" s="6" t="n">
        <v>68.6</v>
      </c>
      <c r="K7" s="6" t="n">
        <v>71.8</v>
      </c>
      <c r="L7" s="6" t="n">
        <v>69.2</v>
      </c>
      <c r="M7" s="6" t="n">
        <v>73.3</v>
      </c>
      <c r="N7" s="6" t="n">
        <v>75</v>
      </c>
      <c r="O7" s="6" t="n">
        <v>84</v>
      </c>
      <c r="P7" s="6" t="n">
        <v>86.3</v>
      </c>
      <c r="Q7" s="6" t="n">
        <v>86.1</v>
      </c>
      <c r="R7" s="6" t="n">
        <v>104.7</v>
      </c>
      <c r="S7" s="6" t="n">
        <v>110.4</v>
      </c>
      <c r="T7" s="6" t="n">
        <v>102.2</v>
      </c>
      <c r="U7" s="6" t="n">
        <v>102.4</v>
      </c>
      <c r="V7" s="6" t="n">
        <v>102.3</v>
      </c>
      <c r="W7" s="6" t="n">
        <v>100.1</v>
      </c>
      <c r="X7" s="6" t="n">
        <v>102.6</v>
      </c>
      <c r="Y7" s="6" t="n">
        <v>106.3</v>
      </c>
      <c r="Z7" s="6" t="n">
        <v>106.5</v>
      </c>
      <c r="AA7" s="6" t="n">
        <v>106.8</v>
      </c>
      <c r="AB7" s="6" t="n">
        <v>106.7</v>
      </c>
      <c r="AC7" s="6" t="n">
        <v>111.8</v>
      </c>
      <c r="AD7" s="6" t="n">
        <v>101.3</v>
      </c>
      <c r="AE7" s="6" t="n">
        <v>97.2</v>
      </c>
      <c r="AF7" s="6" t="n">
        <v>97.2</v>
      </c>
      <c r="AG7" s="6" t="n">
        <v>97.8</v>
      </c>
      <c r="AH7" s="6" t="n">
        <v>100.2</v>
      </c>
      <c r="AI7" s="6" t="n">
        <v>105.3</v>
      </c>
      <c r="AJ7" s="6" t="n">
        <v>107.6</v>
      </c>
      <c r="AK7" s="6" t="n">
        <v>108.4</v>
      </c>
      <c r="AL7" s="6" t="n">
        <v>108.2</v>
      </c>
      <c r="AM7" s="6" t="n">
        <v>112.6</v>
      </c>
      <c r="AN7" s="6" t="n">
        <v>111.9</v>
      </c>
      <c r="AO7" s="6" t="n">
        <v>115</v>
      </c>
      <c r="AP7" s="6" t="n">
        <v>92.1</v>
      </c>
      <c r="AQ7" s="6" t="n">
        <v>99.3</v>
      </c>
      <c r="AR7" s="6" t="n">
        <v>102.3</v>
      </c>
      <c r="AS7" s="6" t="n">
        <v>102.6</v>
      </c>
      <c r="AT7" s="6" t="n">
        <v>106.9</v>
      </c>
      <c r="AU7" s="6" t="n">
        <v>105.7</v>
      </c>
      <c r="AV7" s="6" t="n">
        <v>105.1</v>
      </c>
      <c r="AW7" s="6" t="n">
        <v>104.2</v>
      </c>
      <c r="AX7" s="6" t="n">
        <v>106.2</v>
      </c>
      <c r="AY7" s="6" t="n">
        <v>106.1</v>
      </c>
      <c r="AZ7" s="6" t="n">
        <v>106.9</v>
      </c>
      <c r="BA7" s="6" t="n">
        <v>107</v>
      </c>
      <c r="BB7" s="6" t="n">
        <v>103.9</v>
      </c>
      <c r="BC7" s="6" t="n">
        <v>109.9</v>
      </c>
      <c r="BD7" s="6" t="n">
        <v>108.7</v>
      </c>
      <c r="BE7" s="6" t="n">
        <v>109.4</v>
      </c>
      <c r="BF7" s="6" t="n">
        <v>109.3</v>
      </c>
      <c r="BG7" s="6" t="n">
        <v>107.4</v>
      </c>
      <c r="BH7" s="6" t="n">
        <v>106.3</v>
      </c>
      <c r="BI7" s="6" t="n">
        <v>107</v>
      </c>
      <c r="BJ7" s="6" t="n">
        <v>105.7</v>
      </c>
      <c r="BK7" s="6" t="n">
        <v>108</v>
      </c>
      <c r="BL7" s="6" t="n">
        <v>108.4</v>
      </c>
      <c r="BM7" s="6" t="n">
        <v>110</v>
      </c>
      <c r="BN7" s="6" t="n">
        <v>107</v>
      </c>
      <c r="BO7" s="6" t="n">
        <v>108.5</v>
      </c>
      <c r="BP7" s="6" t="n">
        <v>105.9</v>
      </c>
      <c r="BQ7" s="6" t="n">
        <v>105.6</v>
      </c>
      <c r="BR7" s="6" t="n">
        <v>105.8</v>
      </c>
      <c r="BS7" s="6" t="n">
        <v>109.8</v>
      </c>
      <c r="BT7" s="6" t="n">
        <v>109.6</v>
      </c>
      <c r="BU7" s="6" t="n">
        <v>108.3</v>
      </c>
      <c r="BV7" s="6" t="n">
        <v>109.5</v>
      </c>
      <c r="BW7" s="6" t="n">
        <v>107.6</v>
      </c>
      <c r="BX7" s="6" t="n">
        <v>108.6</v>
      </c>
      <c r="BY7" s="6" t="n">
        <v>107.1</v>
      </c>
      <c r="BZ7" s="6" t="n">
        <v>114.9</v>
      </c>
      <c r="CA7" s="6" t="n">
        <v>127.7</v>
      </c>
      <c r="CB7" s="6" t="n">
        <v>172.2</v>
      </c>
      <c r="CC7" s="6" t="n">
        <v>118.9</v>
      </c>
      <c r="CD7" s="6" t="n">
        <v>118.6</v>
      </c>
    </row>
    <row r="8" customFormat="false" ht="15.75" hidden="false" customHeight="true" outlineLevel="0" collapsed="false">
      <c r="A8" s="1" t="n">
        <v>1712</v>
      </c>
      <c r="B8" s="1" t="s">
        <v>106</v>
      </c>
      <c r="C8" s="1" t="s">
        <v>107</v>
      </c>
      <c r="D8" s="1" t="s">
        <v>108</v>
      </c>
      <c r="E8" s="1" t="s">
        <v>109</v>
      </c>
      <c r="F8" s="6" t="n">
        <v>70.9</v>
      </c>
      <c r="G8" s="6" t="n">
        <v>70.1</v>
      </c>
      <c r="H8" s="6" t="n">
        <v>67</v>
      </c>
      <c r="I8" s="6" t="n">
        <v>64.8</v>
      </c>
      <c r="J8" s="6" t="n">
        <v>69.1</v>
      </c>
      <c r="K8" s="6" t="n">
        <v>61.4</v>
      </c>
      <c r="L8" s="6" t="n">
        <v>60.5</v>
      </c>
      <c r="M8" s="6" t="n">
        <v>61.2</v>
      </c>
      <c r="N8" s="6" t="n">
        <v>65.2</v>
      </c>
      <c r="O8" s="6" t="n">
        <v>67.8</v>
      </c>
      <c r="P8" s="6" t="n">
        <v>70.8</v>
      </c>
      <c r="Q8" s="6" t="n">
        <v>72.8</v>
      </c>
      <c r="R8" s="6" t="n">
        <v>97.7</v>
      </c>
      <c r="S8" s="6" t="n">
        <v>85.3</v>
      </c>
      <c r="T8" s="6" t="n">
        <v>79.6</v>
      </c>
      <c r="U8" s="6" t="n">
        <v>80.5</v>
      </c>
      <c r="V8" s="6" t="n">
        <v>85.6</v>
      </c>
      <c r="W8" s="6" t="n">
        <v>86</v>
      </c>
      <c r="X8" s="6" t="n">
        <v>87.1</v>
      </c>
      <c r="Y8" s="6" t="n">
        <v>90.8</v>
      </c>
      <c r="Z8" s="6" t="n">
        <v>94.8</v>
      </c>
      <c r="AA8" s="6" t="n">
        <v>95.8</v>
      </c>
      <c r="AB8" s="6" t="n">
        <v>96.9</v>
      </c>
      <c r="AC8" s="6" t="n">
        <v>107.7</v>
      </c>
      <c r="AD8" s="6" t="n">
        <v>105.4</v>
      </c>
      <c r="AE8" s="6" t="n">
        <v>105.8</v>
      </c>
      <c r="AF8" s="6" t="n">
        <v>108.2</v>
      </c>
      <c r="AG8" s="6" t="n">
        <v>111.7</v>
      </c>
      <c r="AH8" s="6" t="n">
        <v>109.9</v>
      </c>
      <c r="AI8" s="6" t="n">
        <v>112.8</v>
      </c>
      <c r="AJ8" s="6" t="n">
        <v>115.4</v>
      </c>
      <c r="AK8" s="6" t="n">
        <v>115.8</v>
      </c>
      <c r="AL8" s="6" t="n">
        <v>115.6</v>
      </c>
      <c r="AM8" s="6" t="n">
        <v>126.3</v>
      </c>
      <c r="AN8" s="6" t="n">
        <v>127.3</v>
      </c>
      <c r="AO8" s="6" t="n">
        <v>128</v>
      </c>
      <c r="AP8" s="6" t="n">
        <v>82</v>
      </c>
      <c r="AQ8" s="6" t="n">
        <v>104.1</v>
      </c>
      <c r="AR8" s="6" t="n">
        <v>105.2</v>
      </c>
      <c r="AS8" s="6" t="n">
        <v>101.7</v>
      </c>
      <c r="AT8" s="6" t="n">
        <v>108.1</v>
      </c>
      <c r="AU8" s="6" t="n">
        <v>106.4</v>
      </c>
      <c r="AV8" s="6" t="n">
        <v>104.6</v>
      </c>
      <c r="AW8" s="6" t="n">
        <v>105.1</v>
      </c>
      <c r="AX8" s="6" t="n">
        <v>106.2</v>
      </c>
      <c r="AY8" s="6" t="n">
        <v>104.3</v>
      </c>
      <c r="AZ8" s="6" t="n">
        <v>101</v>
      </c>
      <c r="BA8" s="6" t="n">
        <v>103.2</v>
      </c>
      <c r="BB8" s="6" t="n">
        <v>110.4</v>
      </c>
      <c r="BC8" s="6" t="n">
        <v>110.9</v>
      </c>
      <c r="BD8" s="6" t="n">
        <v>108.4</v>
      </c>
      <c r="BE8" s="6" t="n">
        <v>110.8</v>
      </c>
      <c r="BF8" s="6" t="n">
        <v>109.9</v>
      </c>
      <c r="BG8" s="6" t="n">
        <v>109.2</v>
      </c>
      <c r="BH8" s="6" t="n">
        <v>110.3</v>
      </c>
      <c r="BI8" s="6" t="n">
        <v>110.9</v>
      </c>
      <c r="BJ8" s="6" t="n">
        <v>108.2</v>
      </c>
      <c r="BK8" s="6" t="n">
        <v>107.6</v>
      </c>
      <c r="BL8" s="6" t="n">
        <v>107.2</v>
      </c>
      <c r="BM8" s="6" t="n">
        <v>106.3</v>
      </c>
      <c r="BN8" s="6" t="n">
        <v>119.6</v>
      </c>
      <c r="BO8" s="6" t="n">
        <v>115.3</v>
      </c>
      <c r="BP8" s="6" t="n">
        <v>112.4</v>
      </c>
      <c r="BQ8" s="6" t="n">
        <v>112.1</v>
      </c>
      <c r="BR8" s="6" t="n">
        <v>109.9</v>
      </c>
      <c r="BS8" s="6" t="n">
        <v>114.7</v>
      </c>
      <c r="BT8" s="6" t="n">
        <v>113.3</v>
      </c>
      <c r="BU8" s="6" t="n">
        <v>110.8</v>
      </c>
      <c r="BV8" s="6" t="n">
        <v>110.7</v>
      </c>
      <c r="BW8" s="6" t="n">
        <v>110.2</v>
      </c>
      <c r="BX8" s="6" t="n">
        <v>109.2</v>
      </c>
      <c r="BY8" s="6" t="n">
        <v>108.3</v>
      </c>
      <c r="BZ8" s="6" t="n">
        <v>112.2</v>
      </c>
      <c r="CA8" s="6" t="n">
        <v>106.2</v>
      </c>
      <c r="CB8" s="6" t="n">
        <v>74.1</v>
      </c>
      <c r="CC8" s="6" t="n">
        <v>119.3</v>
      </c>
      <c r="CD8" s="6" t="n">
        <v>119.7</v>
      </c>
    </row>
    <row r="9" customFormat="false" ht="15.75" hidden="false" customHeight="true" outlineLevel="0" collapsed="false">
      <c r="A9" s="1" t="n">
        <v>1714</v>
      </c>
      <c r="B9" s="1" t="s">
        <v>110</v>
      </c>
      <c r="C9" s="1" t="s">
        <v>111</v>
      </c>
      <c r="D9" s="1" t="s">
        <v>112</v>
      </c>
      <c r="E9" s="1" t="s">
        <v>113</v>
      </c>
      <c r="F9" s="6" t="n">
        <v>96.1</v>
      </c>
      <c r="G9" s="6" t="n">
        <v>109.1</v>
      </c>
      <c r="H9" s="6" t="n">
        <v>78.3</v>
      </c>
      <c r="I9" s="6" t="n">
        <v>74.5</v>
      </c>
      <c r="J9" s="6" t="n">
        <v>83</v>
      </c>
      <c r="K9" s="6" t="n">
        <v>89.7</v>
      </c>
      <c r="L9" s="6" t="n">
        <v>101.8</v>
      </c>
      <c r="M9" s="6" t="n">
        <v>96.8</v>
      </c>
      <c r="N9" s="6" t="n">
        <v>96.2</v>
      </c>
      <c r="O9" s="6" t="n">
        <v>102.2</v>
      </c>
      <c r="P9" s="6" t="n">
        <v>101.9</v>
      </c>
      <c r="Q9" s="6" t="n">
        <v>107.2</v>
      </c>
      <c r="R9" s="6" t="n">
        <v>112.8</v>
      </c>
      <c r="S9" s="6" t="n">
        <v>88.8</v>
      </c>
      <c r="T9" s="6" t="n">
        <v>102.3</v>
      </c>
      <c r="U9" s="6" t="n">
        <v>104.2</v>
      </c>
      <c r="V9" s="6" t="n">
        <v>105.8</v>
      </c>
      <c r="W9" s="6" t="n">
        <v>108.7</v>
      </c>
      <c r="X9" s="6" t="n">
        <v>108.2</v>
      </c>
      <c r="Y9" s="6" t="n">
        <v>109.7</v>
      </c>
      <c r="Z9" s="6" t="n">
        <v>108.7</v>
      </c>
      <c r="AA9" s="6" t="n">
        <v>117.7</v>
      </c>
      <c r="AB9" s="6" t="n">
        <v>117.5</v>
      </c>
      <c r="AC9" s="6" t="n">
        <v>127.6</v>
      </c>
      <c r="AD9" s="6" t="n">
        <v>112</v>
      </c>
      <c r="AE9" s="6" t="n">
        <v>115.2</v>
      </c>
      <c r="AF9" s="6" t="n">
        <v>111.3</v>
      </c>
      <c r="AG9" s="6" t="n">
        <v>117.9</v>
      </c>
      <c r="AH9" s="6" t="n">
        <v>122.4</v>
      </c>
      <c r="AI9" s="6" t="n">
        <v>123.2</v>
      </c>
      <c r="AJ9" s="6" t="n">
        <v>120.6</v>
      </c>
      <c r="AK9" s="6" t="n">
        <v>122.7</v>
      </c>
      <c r="AL9" s="6" t="n">
        <v>125</v>
      </c>
      <c r="AM9" s="6" t="n">
        <v>128.8</v>
      </c>
      <c r="AN9" s="6" t="n">
        <v>127.6</v>
      </c>
      <c r="AO9" s="6" t="n">
        <v>127.2</v>
      </c>
      <c r="AP9" s="6" t="n">
        <v>104.1</v>
      </c>
      <c r="AQ9" s="6" t="n">
        <v>108.4</v>
      </c>
      <c r="AR9" s="6" t="n">
        <v>113.9</v>
      </c>
      <c r="AS9" s="6" t="n">
        <v>104.9</v>
      </c>
      <c r="AT9" s="6" t="n">
        <v>108</v>
      </c>
      <c r="AU9" s="6" t="n">
        <v>108.5</v>
      </c>
      <c r="AV9" s="6" t="n">
        <v>108.9</v>
      </c>
      <c r="AW9" s="6" t="n">
        <v>109.3</v>
      </c>
      <c r="AX9" s="6" t="n">
        <v>109.8</v>
      </c>
      <c r="AY9" s="6" t="n">
        <v>110.4</v>
      </c>
      <c r="AZ9" s="6" t="n">
        <v>110.3</v>
      </c>
      <c r="BA9" s="6" t="n">
        <v>112</v>
      </c>
      <c r="BB9" s="6" t="n">
        <v>112.9</v>
      </c>
      <c r="BC9" s="6" t="n">
        <v>114.4</v>
      </c>
      <c r="BD9" s="6" t="n">
        <v>109.3</v>
      </c>
      <c r="BE9" s="6" t="n">
        <v>112.5</v>
      </c>
      <c r="BF9" s="6" t="n">
        <v>110.3</v>
      </c>
      <c r="BG9" s="6" t="n">
        <v>110.9</v>
      </c>
      <c r="BH9" s="6" t="n">
        <v>111.6</v>
      </c>
      <c r="BI9" s="6" t="n">
        <v>111.6</v>
      </c>
      <c r="BJ9" s="6" t="n">
        <v>111.2</v>
      </c>
      <c r="BK9" s="6" t="n">
        <v>111.3</v>
      </c>
      <c r="BL9" s="6" t="n">
        <v>112.7</v>
      </c>
      <c r="BM9" s="6" t="n">
        <v>108.9</v>
      </c>
      <c r="BN9" s="6" t="n">
        <v>109.4</v>
      </c>
      <c r="BO9" s="6" t="n">
        <v>113.6</v>
      </c>
      <c r="BP9" s="6" t="n">
        <v>114.5</v>
      </c>
      <c r="BQ9" s="6" t="n">
        <v>112.2</v>
      </c>
      <c r="BR9" s="6" t="n">
        <v>112.2</v>
      </c>
      <c r="BS9" s="6" t="n">
        <v>114.9</v>
      </c>
      <c r="BT9" s="6" t="n">
        <v>114.7</v>
      </c>
      <c r="BU9" s="6" t="n">
        <v>114.7</v>
      </c>
      <c r="BV9" s="6" t="n">
        <v>115.6</v>
      </c>
      <c r="BW9" s="6" t="n">
        <v>113.7</v>
      </c>
      <c r="BX9" s="6" t="n">
        <v>113.4</v>
      </c>
      <c r="BY9" s="6" t="n">
        <v>111.6</v>
      </c>
      <c r="BZ9" s="6" t="n">
        <v>116.5</v>
      </c>
      <c r="CA9" s="6" t="n">
        <v>127.2</v>
      </c>
      <c r="CB9" s="6" t="n">
        <v>121.2</v>
      </c>
      <c r="CC9" s="6" t="n">
        <v>105.6</v>
      </c>
      <c r="CD9" s="6" t="n">
        <v>106.6</v>
      </c>
    </row>
    <row r="10" customFormat="false" ht="15.75" hidden="false" customHeight="true" outlineLevel="0" collapsed="false">
      <c r="A10" s="1" t="n">
        <v>1718</v>
      </c>
      <c r="B10" s="1" t="s">
        <v>114</v>
      </c>
      <c r="C10" s="1" t="s">
        <v>115</v>
      </c>
      <c r="D10" s="1" t="s">
        <v>116</v>
      </c>
      <c r="E10" s="1" t="s">
        <v>117</v>
      </c>
      <c r="F10" s="6" t="n">
        <v>100.1</v>
      </c>
      <c r="G10" s="6" t="n">
        <v>101.9</v>
      </c>
      <c r="H10" s="6" t="n">
        <v>94.8</v>
      </c>
      <c r="I10" s="6" t="n">
        <v>89.6</v>
      </c>
      <c r="J10" s="6" t="n">
        <v>92.7</v>
      </c>
      <c r="K10" s="6" t="n">
        <v>94</v>
      </c>
      <c r="L10" s="6" t="n">
        <v>93.2</v>
      </c>
      <c r="M10" s="6" t="n">
        <v>97.9</v>
      </c>
      <c r="N10" s="6" t="n">
        <v>98.5</v>
      </c>
      <c r="O10" s="6" t="n">
        <v>100.6</v>
      </c>
      <c r="P10" s="6" t="n">
        <v>102.8</v>
      </c>
      <c r="Q10" s="6" t="n">
        <v>102.2</v>
      </c>
      <c r="R10" s="6" t="n">
        <v>100.2</v>
      </c>
      <c r="S10" s="6" t="n">
        <v>96.4</v>
      </c>
      <c r="T10" s="6" t="n">
        <v>105.4</v>
      </c>
      <c r="U10" s="6" t="n">
        <v>98.1</v>
      </c>
      <c r="V10" s="6" t="n">
        <v>93.2</v>
      </c>
      <c r="W10" s="6" t="n">
        <v>91.3</v>
      </c>
      <c r="X10" s="6" t="n">
        <v>92.7</v>
      </c>
      <c r="Y10" s="6" t="n">
        <v>92.9</v>
      </c>
      <c r="Z10" s="6" t="n">
        <v>102</v>
      </c>
      <c r="AA10" s="6" t="n">
        <v>109.6</v>
      </c>
      <c r="AB10" s="6" t="n">
        <v>110</v>
      </c>
      <c r="AC10" s="6" t="n">
        <v>124.1</v>
      </c>
      <c r="AD10" s="6" t="n">
        <v>99.8</v>
      </c>
      <c r="AE10" s="6" t="n">
        <v>100.8</v>
      </c>
      <c r="AF10" s="6" t="n">
        <v>96</v>
      </c>
      <c r="AG10" s="6" t="n">
        <v>101.6</v>
      </c>
      <c r="AH10" s="6" t="n">
        <v>104.7</v>
      </c>
      <c r="AI10" s="6" t="n">
        <v>109.1</v>
      </c>
      <c r="AJ10" s="6" t="n">
        <v>111.4</v>
      </c>
      <c r="AK10" s="6" t="n">
        <v>109.7</v>
      </c>
      <c r="AL10" s="6" t="n">
        <v>109.6</v>
      </c>
      <c r="AM10" s="6" t="n">
        <v>112.6</v>
      </c>
      <c r="AN10" s="6" t="n">
        <v>113.1</v>
      </c>
      <c r="AO10" s="6" t="n">
        <v>115</v>
      </c>
      <c r="AP10" s="6" t="n">
        <v>113.4</v>
      </c>
      <c r="AQ10" s="6" t="n">
        <v>119.4</v>
      </c>
      <c r="AR10" s="6" t="n">
        <v>119.7</v>
      </c>
      <c r="AS10" s="6" t="n">
        <v>115</v>
      </c>
      <c r="AT10" s="6" t="n">
        <v>113.7</v>
      </c>
      <c r="AU10" s="6" t="n">
        <v>109.9</v>
      </c>
      <c r="AV10" s="6" t="n">
        <v>113.2</v>
      </c>
      <c r="AW10" s="6" t="n">
        <v>115</v>
      </c>
      <c r="AX10" s="6" t="n">
        <v>116.7</v>
      </c>
      <c r="AY10" s="6" t="n">
        <v>118</v>
      </c>
      <c r="AZ10" s="6" t="n">
        <v>119</v>
      </c>
      <c r="BA10" s="6" t="n">
        <v>119.6</v>
      </c>
      <c r="BB10" s="6" t="n">
        <v>125</v>
      </c>
      <c r="BC10" s="6" t="n">
        <v>121.9</v>
      </c>
      <c r="BD10" s="6" t="n">
        <v>122.2</v>
      </c>
      <c r="BE10" s="6" t="n">
        <v>125.5</v>
      </c>
      <c r="BF10" s="6" t="n">
        <v>124.8</v>
      </c>
      <c r="BG10" s="6" t="n">
        <v>122.7</v>
      </c>
      <c r="BH10" s="6" t="n">
        <v>124.4</v>
      </c>
      <c r="BI10" s="6" t="n">
        <v>123.7</v>
      </c>
      <c r="BJ10" s="6" t="n">
        <v>121.9</v>
      </c>
      <c r="BK10" s="6" t="n">
        <v>120.7</v>
      </c>
      <c r="BL10" s="6" t="n">
        <v>118.3</v>
      </c>
      <c r="BM10" s="6" t="n">
        <v>115.2</v>
      </c>
      <c r="BN10" s="6" t="n">
        <v>116.1</v>
      </c>
      <c r="BO10" s="6" t="n">
        <v>116.6</v>
      </c>
      <c r="BP10" s="6" t="n">
        <v>112.5</v>
      </c>
      <c r="BQ10" s="6" t="n">
        <v>109</v>
      </c>
      <c r="BR10" s="6" t="n">
        <v>108.4</v>
      </c>
      <c r="BS10" s="6" t="n">
        <v>113.5</v>
      </c>
      <c r="BT10" s="6" t="n">
        <v>114.7</v>
      </c>
      <c r="BU10" s="6" t="n">
        <v>114.9</v>
      </c>
      <c r="BV10" s="6" t="n">
        <v>115.5</v>
      </c>
      <c r="BW10" s="6" t="n">
        <v>114.6</v>
      </c>
      <c r="BX10" s="6" t="n">
        <v>114.8</v>
      </c>
      <c r="BY10" s="6" t="n">
        <v>113.8</v>
      </c>
      <c r="BZ10" s="6" t="n">
        <v>121.7</v>
      </c>
      <c r="CA10" s="6" t="n">
        <v>123.8</v>
      </c>
      <c r="CB10" s="6" t="n">
        <v>122.8</v>
      </c>
      <c r="CC10" s="6" t="n">
        <v>116.1</v>
      </c>
      <c r="CD10" s="6" t="n">
        <v>112.4</v>
      </c>
    </row>
    <row r="11" customFormat="false" ht="15.75" hidden="false" customHeight="true" outlineLevel="0" collapsed="false">
      <c r="A11" s="1" t="n">
        <v>1722</v>
      </c>
      <c r="B11" s="1" t="s">
        <v>118</v>
      </c>
      <c r="C11" s="1" t="s">
        <v>119</v>
      </c>
      <c r="D11" s="1" t="s">
        <v>120</v>
      </c>
      <c r="E11" s="1" t="s">
        <v>121</v>
      </c>
      <c r="F11" s="6" t="n">
        <v>104.9</v>
      </c>
      <c r="G11" s="6" t="n">
        <v>113.2</v>
      </c>
      <c r="H11" s="6" t="n">
        <v>105.3</v>
      </c>
      <c r="I11" s="6" t="n">
        <v>97.6</v>
      </c>
      <c r="J11" s="6" t="n">
        <v>96.9</v>
      </c>
      <c r="K11" s="6" t="n">
        <v>100.6</v>
      </c>
      <c r="L11" s="6" t="n">
        <v>93.4</v>
      </c>
      <c r="M11" s="6" t="n">
        <v>92.7</v>
      </c>
      <c r="N11" s="6" t="n">
        <v>93</v>
      </c>
      <c r="O11" s="6" t="n">
        <v>101.2</v>
      </c>
      <c r="P11" s="6" t="n">
        <v>100.7</v>
      </c>
      <c r="Q11" s="6" t="n">
        <v>103.9</v>
      </c>
      <c r="R11" s="6" t="n">
        <v>99.6</v>
      </c>
      <c r="S11" s="6" t="n">
        <v>83.8</v>
      </c>
      <c r="T11" s="6" t="n">
        <v>83.7</v>
      </c>
      <c r="U11" s="6" t="n">
        <v>85.1</v>
      </c>
      <c r="V11" s="6" t="n">
        <v>81</v>
      </c>
      <c r="W11" s="6" t="n">
        <v>83.1</v>
      </c>
      <c r="X11" s="6" t="n">
        <v>86.3</v>
      </c>
      <c r="Y11" s="6" t="n">
        <v>94.2</v>
      </c>
      <c r="Z11" s="6" t="n">
        <v>94.5</v>
      </c>
      <c r="AA11" s="6" t="n">
        <v>94</v>
      </c>
      <c r="AB11" s="6" t="n">
        <v>96.6</v>
      </c>
      <c r="AC11" s="6" t="n">
        <v>93.5</v>
      </c>
      <c r="AD11" s="6" t="n">
        <v>111.5</v>
      </c>
      <c r="AE11" s="6" t="n">
        <v>105</v>
      </c>
      <c r="AF11" s="6" t="n">
        <v>107.1</v>
      </c>
      <c r="AG11" s="6" t="n">
        <v>110.4</v>
      </c>
      <c r="AH11" s="6" t="n">
        <v>116.9</v>
      </c>
      <c r="AI11" s="6" t="n">
        <v>123.9</v>
      </c>
      <c r="AJ11" s="6" t="n">
        <v>122.9</v>
      </c>
      <c r="AK11" s="6" t="n">
        <v>117.6</v>
      </c>
      <c r="AL11" s="6" t="n">
        <v>120.1</v>
      </c>
      <c r="AM11" s="6" t="n">
        <v>127.7</v>
      </c>
      <c r="AN11" s="6" t="n">
        <v>126.3</v>
      </c>
      <c r="AO11" s="6" t="n">
        <v>130.5</v>
      </c>
      <c r="AP11" s="6" t="n">
        <v>91.3</v>
      </c>
      <c r="AQ11" s="6" t="n">
        <v>98.2</v>
      </c>
      <c r="AR11" s="6" t="n">
        <v>103.7</v>
      </c>
      <c r="AS11" s="6" t="n">
        <v>101.4</v>
      </c>
      <c r="AT11" s="6" t="n">
        <v>101.2</v>
      </c>
      <c r="AU11" s="6" t="n">
        <v>101</v>
      </c>
      <c r="AV11" s="6" t="n">
        <v>101.3</v>
      </c>
      <c r="AW11" s="6" t="n">
        <v>102.4</v>
      </c>
      <c r="AX11" s="6" t="n">
        <v>101.2</v>
      </c>
      <c r="AY11" s="6" t="n">
        <v>103.9</v>
      </c>
      <c r="AZ11" s="6" t="n">
        <v>104.7</v>
      </c>
      <c r="BA11" s="6" t="n">
        <v>105.6</v>
      </c>
      <c r="BB11" s="6" t="n">
        <v>104.2</v>
      </c>
      <c r="BC11" s="6" t="n">
        <v>109.2</v>
      </c>
      <c r="BD11" s="6" t="n">
        <v>106.4</v>
      </c>
      <c r="BE11" s="6" t="n">
        <v>108.8</v>
      </c>
      <c r="BF11" s="6" t="n">
        <v>108.5</v>
      </c>
      <c r="BG11" s="6" t="n">
        <v>107</v>
      </c>
      <c r="BH11" s="6" t="n">
        <v>105.5</v>
      </c>
      <c r="BI11" s="6" t="n">
        <v>106.5</v>
      </c>
      <c r="BJ11" s="6" t="n">
        <v>108.8</v>
      </c>
      <c r="BK11" s="6" t="n">
        <v>107.1</v>
      </c>
      <c r="BL11" s="6" t="n">
        <v>107.5</v>
      </c>
      <c r="BM11" s="6" t="n">
        <v>105.9</v>
      </c>
      <c r="BN11" s="6" t="n">
        <v>106.9</v>
      </c>
      <c r="BO11" s="6" t="n">
        <v>109.4</v>
      </c>
      <c r="BP11" s="6" t="n">
        <v>107.6</v>
      </c>
      <c r="BQ11" s="6" t="n">
        <v>105.7</v>
      </c>
      <c r="BR11" s="6" t="n">
        <v>105.9</v>
      </c>
      <c r="BS11" s="6" t="n">
        <v>112.4</v>
      </c>
      <c r="BT11" s="6" t="n">
        <v>110.6</v>
      </c>
      <c r="BU11" s="6" t="n">
        <v>109.9</v>
      </c>
      <c r="BV11" s="6" t="n">
        <v>110.1</v>
      </c>
      <c r="BW11" s="6" t="n">
        <v>109.2</v>
      </c>
      <c r="BX11" s="6" t="n">
        <v>109.6</v>
      </c>
      <c r="BY11" s="6" t="n">
        <v>105</v>
      </c>
      <c r="BZ11" s="6" t="n">
        <v>111.8</v>
      </c>
      <c r="CA11" s="6" t="n">
        <v>111.4</v>
      </c>
      <c r="CB11" s="6" t="n">
        <v>88</v>
      </c>
      <c r="CC11" s="6" t="n">
        <v>107.5</v>
      </c>
      <c r="CD11" s="6" t="n">
        <v>109</v>
      </c>
    </row>
    <row r="12" customFormat="false" ht="15.75" hidden="false" customHeight="true" outlineLevel="0" collapsed="false">
      <c r="A12" s="1" t="n">
        <v>1724</v>
      </c>
      <c r="B12" s="1" t="s">
        <v>122</v>
      </c>
      <c r="C12" s="1" t="s">
        <v>123</v>
      </c>
      <c r="D12" s="1" t="s">
        <v>124</v>
      </c>
      <c r="E12" s="1" t="s">
        <v>125</v>
      </c>
      <c r="F12" s="6" t="n">
        <v>107.9</v>
      </c>
      <c r="G12" s="6" t="n">
        <v>95.8</v>
      </c>
      <c r="H12" s="6" t="n">
        <v>83</v>
      </c>
      <c r="I12" s="6" t="n">
        <v>78.3</v>
      </c>
      <c r="J12" s="6" t="n">
        <v>71.7</v>
      </c>
      <c r="K12" s="6" t="n">
        <v>79.8</v>
      </c>
      <c r="L12" s="6" t="n">
        <v>75.7</v>
      </c>
      <c r="M12" s="6" t="n">
        <v>80.4</v>
      </c>
      <c r="N12" s="6" t="n">
        <v>83.6</v>
      </c>
      <c r="O12" s="6" t="n">
        <v>84.1</v>
      </c>
      <c r="P12" s="6" t="n">
        <v>86.4</v>
      </c>
      <c r="Q12" s="6" t="n">
        <v>83.6</v>
      </c>
      <c r="R12" s="6" t="n">
        <v>87.4</v>
      </c>
      <c r="S12" s="6" t="n">
        <v>88.7</v>
      </c>
      <c r="T12" s="6" t="n">
        <v>92.6</v>
      </c>
      <c r="U12" s="6" t="n">
        <v>92.4</v>
      </c>
      <c r="V12" s="6" t="n">
        <v>95.5</v>
      </c>
      <c r="W12" s="6" t="n">
        <v>96</v>
      </c>
      <c r="X12" s="6" t="n">
        <v>97.2</v>
      </c>
      <c r="Y12" s="6" t="n">
        <v>98.8</v>
      </c>
      <c r="Z12" s="6" t="n">
        <v>99.9</v>
      </c>
      <c r="AA12" s="6" t="n">
        <v>102.5</v>
      </c>
      <c r="AB12" s="6" t="n">
        <v>104.6</v>
      </c>
      <c r="AC12" s="6" t="n">
        <v>103.6</v>
      </c>
      <c r="AD12" s="6" t="n">
        <v>99.1</v>
      </c>
      <c r="AE12" s="6" t="n">
        <v>102.7</v>
      </c>
      <c r="AF12" s="6" t="n">
        <v>103</v>
      </c>
      <c r="AG12" s="6" t="n">
        <v>102</v>
      </c>
      <c r="AH12" s="6" t="n">
        <v>101.7</v>
      </c>
      <c r="AI12" s="6" t="n">
        <v>102.7</v>
      </c>
      <c r="AJ12" s="6" t="n">
        <v>104.6</v>
      </c>
      <c r="AK12" s="6" t="n">
        <v>104.1</v>
      </c>
      <c r="AL12" s="6" t="n">
        <v>104.3</v>
      </c>
      <c r="AM12" s="6" t="n">
        <v>111.3</v>
      </c>
      <c r="AN12" s="6" t="n">
        <v>115.5</v>
      </c>
      <c r="AO12" s="6" t="n">
        <v>114.5</v>
      </c>
      <c r="AP12" s="6" t="n">
        <v>74.8</v>
      </c>
      <c r="AQ12" s="6" t="n">
        <v>92.1</v>
      </c>
      <c r="AR12" s="6" t="n">
        <v>101.6</v>
      </c>
      <c r="AS12" s="6" t="n">
        <v>102.6</v>
      </c>
      <c r="AT12" s="6" t="n">
        <v>105.8</v>
      </c>
      <c r="AU12" s="6" t="n">
        <v>105.9</v>
      </c>
      <c r="AV12" s="6" t="n">
        <v>107.1</v>
      </c>
      <c r="AW12" s="6" t="n">
        <v>108.1</v>
      </c>
      <c r="AX12" s="6" t="n">
        <v>109.4</v>
      </c>
      <c r="AY12" s="6" t="n">
        <v>108.6</v>
      </c>
      <c r="AZ12" s="6" t="n">
        <v>106.3</v>
      </c>
      <c r="BA12" s="6" t="n">
        <v>106.7</v>
      </c>
      <c r="BB12" s="6" t="n">
        <v>110.9</v>
      </c>
      <c r="BC12" s="6" t="n">
        <v>107.8</v>
      </c>
      <c r="BD12" s="6" t="n">
        <v>107.4</v>
      </c>
      <c r="BE12" s="6" t="n">
        <v>107.2</v>
      </c>
      <c r="BF12" s="6" t="n">
        <v>105.3</v>
      </c>
      <c r="BG12" s="6" t="n">
        <v>104.2</v>
      </c>
      <c r="BH12" s="6" t="n">
        <v>105.4</v>
      </c>
      <c r="BI12" s="6" t="n">
        <v>106.4</v>
      </c>
      <c r="BJ12" s="6" t="n">
        <v>106.3</v>
      </c>
      <c r="BK12" s="6" t="n">
        <v>107.4</v>
      </c>
      <c r="BL12" s="6" t="n">
        <v>107.8</v>
      </c>
      <c r="BM12" s="6" t="n">
        <v>109.2</v>
      </c>
      <c r="BN12" s="6" t="n">
        <v>108</v>
      </c>
      <c r="BO12" s="6" t="n">
        <v>117.6</v>
      </c>
      <c r="BP12" s="6" t="n">
        <v>113</v>
      </c>
      <c r="BQ12" s="6" t="n">
        <v>112.3</v>
      </c>
      <c r="BR12" s="6" t="n">
        <v>111.9</v>
      </c>
      <c r="BS12" s="6" t="n">
        <v>113.2</v>
      </c>
      <c r="BT12" s="6" t="n">
        <v>113.5</v>
      </c>
      <c r="BU12" s="6" t="n">
        <v>113</v>
      </c>
      <c r="BV12" s="6" t="n">
        <v>113.9</v>
      </c>
      <c r="BW12" s="6" t="n">
        <v>113.5</v>
      </c>
      <c r="BX12" s="6" t="n">
        <v>112.5</v>
      </c>
      <c r="BY12" s="6" t="n">
        <v>111.6</v>
      </c>
      <c r="BZ12" s="6" t="n">
        <v>110.1</v>
      </c>
      <c r="CA12" s="6" t="n">
        <v>106.1</v>
      </c>
      <c r="CB12" s="6" t="n">
        <v>86</v>
      </c>
      <c r="CC12" s="6" t="n">
        <v>106.8</v>
      </c>
      <c r="CD12" s="6" t="n">
        <v>107.4</v>
      </c>
    </row>
    <row r="13" customFormat="false" ht="15.75" hidden="false" customHeight="true" outlineLevel="0" collapsed="false">
      <c r="A13" s="1" t="n">
        <v>1727</v>
      </c>
      <c r="B13" s="1" t="s">
        <v>126</v>
      </c>
      <c r="C13" s="1" t="s">
        <v>127</v>
      </c>
      <c r="D13" s="1" t="s">
        <v>128</v>
      </c>
      <c r="E13" s="1" t="s">
        <v>129</v>
      </c>
      <c r="F13" s="6" t="n">
        <v>118</v>
      </c>
      <c r="G13" s="6" t="n">
        <v>111.3</v>
      </c>
      <c r="H13" s="6" t="n">
        <v>98.9</v>
      </c>
      <c r="I13" s="6" t="n">
        <v>90.1</v>
      </c>
      <c r="J13" s="6" t="n">
        <v>88</v>
      </c>
      <c r="K13" s="6" t="n">
        <v>89.1</v>
      </c>
      <c r="L13" s="6" t="n">
        <v>84.3</v>
      </c>
      <c r="M13" s="6" t="n">
        <v>83</v>
      </c>
      <c r="N13" s="6" t="n">
        <v>85.7</v>
      </c>
      <c r="O13" s="6" t="n">
        <v>85.4</v>
      </c>
      <c r="P13" s="6" t="n">
        <v>86.7</v>
      </c>
      <c r="Q13" s="6" t="n">
        <v>90.7</v>
      </c>
      <c r="R13" s="6" t="n">
        <v>71.1</v>
      </c>
      <c r="S13" s="6" t="n">
        <v>71.7</v>
      </c>
      <c r="T13" s="6" t="n">
        <v>79.9</v>
      </c>
      <c r="U13" s="6" t="n">
        <v>82.8</v>
      </c>
      <c r="V13" s="6" t="n">
        <v>86.4</v>
      </c>
      <c r="W13" s="6" t="n">
        <v>90.2</v>
      </c>
      <c r="X13" s="6" t="n">
        <v>93.7</v>
      </c>
      <c r="Y13" s="6" t="n">
        <v>97</v>
      </c>
      <c r="Z13" s="6" t="n">
        <v>103.4</v>
      </c>
      <c r="AA13" s="6" t="n">
        <v>104.5</v>
      </c>
      <c r="AB13" s="6" t="n">
        <v>108.5</v>
      </c>
      <c r="AC13" s="6" t="n">
        <v>116.9</v>
      </c>
      <c r="AD13" s="6" t="n">
        <v>101.4</v>
      </c>
      <c r="AE13" s="6" t="n">
        <v>104.2</v>
      </c>
      <c r="AF13" s="6" t="n">
        <v>103.8</v>
      </c>
      <c r="AG13" s="6" t="n">
        <v>110.5</v>
      </c>
      <c r="AH13" s="6" t="n">
        <v>111.7</v>
      </c>
      <c r="AI13" s="6" t="n">
        <v>115.2</v>
      </c>
      <c r="AJ13" s="6" t="n">
        <v>113.6</v>
      </c>
      <c r="AK13" s="6" t="n">
        <v>113.6</v>
      </c>
      <c r="AL13" s="6" t="n">
        <v>112.4</v>
      </c>
      <c r="AM13" s="6" t="n">
        <v>120.4</v>
      </c>
      <c r="AN13" s="6" t="n">
        <v>119.3</v>
      </c>
      <c r="AO13" s="6" t="n">
        <v>120.8</v>
      </c>
      <c r="AP13" s="6" t="n">
        <v>132.1</v>
      </c>
      <c r="AQ13" s="6" t="n">
        <v>135.3</v>
      </c>
      <c r="AR13" s="6" t="n">
        <v>125.1</v>
      </c>
      <c r="AS13" s="6" t="n">
        <v>115</v>
      </c>
      <c r="AT13" s="6" t="n">
        <v>109.7</v>
      </c>
      <c r="AU13" s="6" t="n">
        <v>107.3</v>
      </c>
      <c r="AV13" s="6" t="n">
        <v>106.1</v>
      </c>
      <c r="AW13" s="6" t="n">
        <v>105.8</v>
      </c>
      <c r="AX13" s="6" t="n">
        <v>106.4</v>
      </c>
      <c r="AY13" s="6" t="n">
        <v>107.3</v>
      </c>
      <c r="AZ13" s="6" t="n">
        <v>107.4</v>
      </c>
      <c r="BA13" s="6" t="n">
        <v>105.7</v>
      </c>
      <c r="BB13" s="6" t="n">
        <v>104</v>
      </c>
      <c r="BC13" s="6" t="n">
        <v>106.8</v>
      </c>
      <c r="BD13" s="6" t="n">
        <v>107.7</v>
      </c>
      <c r="BE13" s="6" t="n">
        <v>110.9</v>
      </c>
      <c r="BF13" s="6" t="n">
        <v>112.9</v>
      </c>
      <c r="BG13" s="6" t="n">
        <v>111.6</v>
      </c>
      <c r="BH13" s="6" t="n">
        <v>113.7</v>
      </c>
      <c r="BI13" s="6" t="n">
        <v>113.5</v>
      </c>
      <c r="BJ13" s="6" t="n">
        <v>113.2</v>
      </c>
      <c r="BK13" s="6" t="n">
        <v>114.1</v>
      </c>
      <c r="BL13" s="6" t="n">
        <v>114.9</v>
      </c>
      <c r="BM13" s="6" t="n">
        <v>116.3</v>
      </c>
      <c r="BN13" s="6" t="n">
        <v>114.4</v>
      </c>
      <c r="BO13" s="6" t="n">
        <v>116.1</v>
      </c>
      <c r="BP13" s="6" t="n">
        <v>114.3</v>
      </c>
      <c r="BQ13" s="6" t="n">
        <v>112</v>
      </c>
      <c r="BR13" s="6" t="n">
        <v>112</v>
      </c>
      <c r="BS13" s="6" t="n">
        <v>114.5</v>
      </c>
      <c r="BT13" s="6" t="n">
        <v>111.9</v>
      </c>
      <c r="BU13" s="6" t="n">
        <v>113.2</v>
      </c>
      <c r="BV13" s="6" t="n">
        <v>113.2</v>
      </c>
      <c r="BW13" s="6" t="n">
        <v>113.5</v>
      </c>
      <c r="BX13" s="6" t="n">
        <v>112.9</v>
      </c>
      <c r="BY13" s="6" t="n">
        <v>113.7</v>
      </c>
      <c r="BZ13" s="6" t="n">
        <v>116.2</v>
      </c>
      <c r="CA13" s="6" t="n">
        <v>114.3</v>
      </c>
      <c r="CB13" s="6" t="n">
        <v>125.4</v>
      </c>
      <c r="CC13" s="6" t="n">
        <v>114.3</v>
      </c>
      <c r="CD13" s="6" t="n">
        <v>107.7</v>
      </c>
    </row>
    <row r="14" customFormat="false" ht="15.75" hidden="false" customHeight="true" outlineLevel="0" collapsed="false">
      <c r="A14" s="1" t="n">
        <v>1730</v>
      </c>
      <c r="B14" s="1" t="s">
        <v>130</v>
      </c>
      <c r="C14" s="1" t="s">
        <v>131</v>
      </c>
      <c r="D14" s="1" t="s">
        <v>132</v>
      </c>
      <c r="E14" s="1" t="s">
        <v>133</v>
      </c>
      <c r="F14" s="6" t="n">
        <v>101.3</v>
      </c>
      <c r="G14" s="6" t="n">
        <v>105.4</v>
      </c>
      <c r="H14" s="6" t="n">
        <v>98</v>
      </c>
      <c r="I14" s="6" t="n">
        <v>88.1</v>
      </c>
      <c r="J14" s="6" t="n">
        <v>82</v>
      </c>
      <c r="K14" s="6" t="n">
        <v>84.9</v>
      </c>
      <c r="L14" s="6" t="n">
        <v>82.7</v>
      </c>
      <c r="M14" s="6" t="n">
        <v>82.3</v>
      </c>
      <c r="N14" s="6" t="n">
        <v>82.6</v>
      </c>
      <c r="O14" s="6" t="n">
        <v>83.4</v>
      </c>
      <c r="P14" s="6" t="n">
        <v>84.5</v>
      </c>
      <c r="Q14" s="6" t="n">
        <v>94.8</v>
      </c>
      <c r="R14" s="6" t="n">
        <v>95.2</v>
      </c>
      <c r="S14" s="6" t="n">
        <v>93.5</v>
      </c>
      <c r="T14" s="6" t="n">
        <v>96.6</v>
      </c>
      <c r="U14" s="6" t="n">
        <v>99.3</v>
      </c>
      <c r="V14" s="6" t="n">
        <v>103.4</v>
      </c>
      <c r="W14" s="6" t="n">
        <v>100.2</v>
      </c>
      <c r="X14" s="6" t="n">
        <v>100.5</v>
      </c>
      <c r="Y14" s="6" t="n">
        <v>100.9</v>
      </c>
      <c r="Z14" s="6" t="n">
        <v>101.8</v>
      </c>
      <c r="AA14" s="6" t="n">
        <v>102.3</v>
      </c>
      <c r="AB14" s="6" t="n">
        <v>104</v>
      </c>
      <c r="AC14" s="6" t="n">
        <v>121.7</v>
      </c>
      <c r="AD14" s="6" t="n">
        <v>105.2</v>
      </c>
      <c r="AE14" s="6" t="n">
        <v>105.9</v>
      </c>
      <c r="AF14" s="6" t="n">
        <v>105.3</v>
      </c>
      <c r="AG14" s="6" t="n">
        <v>103.7</v>
      </c>
      <c r="AH14" s="6" t="n">
        <v>105.2</v>
      </c>
      <c r="AI14" s="6" t="n">
        <v>108.2</v>
      </c>
      <c r="AJ14" s="6" t="n">
        <v>108.7</v>
      </c>
      <c r="AK14" s="6" t="n">
        <v>110.3</v>
      </c>
      <c r="AL14" s="6" t="n">
        <v>109.6</v>
      </c>
      <c r="AM14" s="6" t="n">
        <v>121.2</v>
      </c>
      <c r="AN14" s="6" t="n">
        <v>124.4</v>
      </c>
      <c r="AO14" s="6" t="n">
        <v>126</v>
      </c>
      <c r="AP14" s="6" t="n">
        <v>101.1</v>
      </c>
      <c r="AQ14" s="6" t="n">
        <v>105.9</v>
      </c>
      <c r="AR14" s="6" t="n">
        <v>109.8</v>
      </c>
      <c r="AS14" s="6" t="n">
        <v>110.6</v>
      </c>
      <c r="AT14" s="6" t="n">
        <v>109.8</v>
      </c>
      <c r="AU14" s="6" t="n">
        <v>109.5</v>
      </c>
      <c r="AV14" s="6" t="n">
        <v>109.8</v>
      </c>
      <c r="AW14" s="6" t="n">
        <v>109.7</v>
      </c>
      <c r="AX14" s="6" t="n">
        <v>108.9</v>
      </c>
      <c r="AY14" s="6" t="n">
        <v>109.2</v>
      </c>
      <c r="AZ14" s="6" t="n">
        <v>109.6</v>
      </c>
      <c r="BA14" s="6" t="n">
        <v>109.7</v>
      </c>
      <c r="BB14" s="6" t="n">
        <v>109.5</v>
      </c>
      <c r="BC14" s="6" t="n">
        <v>112.5</v>
      </c>
      <c r="BD14" s="6" t="n">
        <v>118.4</v>
      </c>
      <c r="BE14" s="6" t="n">
        <v>109.8</v>
      </c>
      <c r="BF14" s="6" t="n">
        <v>108</v>
      </c>
      <c r="BG14" s="6" t="n">
        <v>107</v>
      </c>
      <c r="BH14" s="6" t="n">
        <v>108</v>
      </c>
      <c r="BI14" s="6" t="n">
        <v>108</v>
      </c>
      <c r="BJ14" s="6" t="n">
        <v>108.4</v>
      </c>
      <c r="BK14" s="6" t="n">
        <v>109.2</v>
      </c>
      <c r="BL14" s="6" t="n">
        <v>109.3</v>
      </c>
      <c r="BM14" s="6" t="n">
        <v>110.3</v>
      </c>
      <c r="BN14" s="6" t="n">
        <v>112.2</v>
      </c>
      <c r="BO14" s="6" t="n">
        <v>109.9</v>
      </c>
      <c r="BP14" s="6" t="n">
        <v>104.9</v>
      </c>
      <c r="BQ14" s="6" t="n">
        <v>109.2</v>
      </c>
      <c r="BR14" s="6" t="n">
        <v>108.5</v>
      </c>
      <c r="BS14" s="6" t="n">
        <v>110.9</v>
      </c>
      <c r="BT14" s="6" t="n">
        <v>111.9</v>
      </c>
      <c r="BU14" s="6" t="n">
        <v>112.5</v>
      </c>
      <c r="BV14" s="6" t="n">
        <v>113.1</v>
      </c>
      <c r="BW14" s="6" t="n">
        <v>113.5</v>
      </c>
      <c r="BX14" s="6" t="n">
        <v>113.1</v>
      </c>
      <c r="BY14" s="6" t="n">
        <v>112.4</v>
      </c>
      <c r="BZ14" s="6" t="n">
        <v>111.9</v>
      </c>
      <c r="CA14" s="6" t="n">
        <v>126.5</v>
      </c>
      <c r="CB14" s="6" t="n">
        <v>157.6</v>
      </c>
      <c r="CC14" s="6" t="n">
        <v>125.2</v>
      </c>
      <c r="CD14" s="6" t="n">
        <v>119.7</v>
      </c>
    </row>
    <row r="15" customFormat="false" ht="15.75" hidden="false" customHeight="true" outlineLevel="0" collapsed="false">
      <c r="A15" s="1" t="n">
        <v>1733</v>
      </c>
      <c r="B15" s="1" t="s">
        <v>134</v>
      </c>
      <c r="C15" s="1" t="s">
        <v>135</v>
      </c>
      <c r="D15" s="1" t="s">
        <v>136</v>
      </c>
      <c r="E15" s="1" t="s">
        <v>137</v>
      </c>
      <c r="F15" s="6" t="n">
        <v>105.2</v>
      </c>
      <c r="G15" s="6" t="n">
        <v>93.8</v>
      </c>
      <c r="H15" s="6" t="n">
        <v>71.1</v>
      </c>
      <c r="I15" s="6" t="n">
        <v>92.8</v>
      </c>
      <c r="J15" s="6" t="n">
        <v>89.9</v>
      </c>
      <c r="K15" s="6" t="n">
        <v>88.5</v>
      </c>
      <c r="L15" s="6" t="n">
        <v>84.4</v>
      </c>
      <c r="M15" s="6" t="n">
        <v>84.8</v>
      </c>
      <c r="N15" s="6" t="n">
        <v>96.1</v>
      </c>
      <c r="O15" s="6" t="n">
        <v>100.3</v>
      </c>
      <c r="P15" s="6" t="n">
        <v>104.1</v>
      </c>
      <c r="Q15" s="6" t="n">
        <v>108.5</v>
      </c>
      <c r="R15" s="6" t="n">
        <v>103.7</v>
      </c>
      <c r="S15" s="6" t="n">
        <v>98.4</v>
      </c>
      <c r="T15" s="6" t="n">
        <v>100.9</v>
      </c>
      <c r="U15" s="6" t="n">
        <v>93.5</v>
      </c>
      <c r="V15" s="6" t="n">
        <v>96.6</v>
      </c>
      <c r="W15" s="6" t="n">
        <v>97.9</v>
      </c>
      <c r="X15" s="6" t="n">
        <v>102.7</v>
      </c>
      <c r="Y15" s="6" t="n">
        <v>103</v>
      </c>
      <c r="Z15" s="6" t="n">
        <v>101.1</v>
      </c>
      <c r="AA15" s="6" t="n">
        <v>101.1</v>
      </c>
      <c r="AB15" s="6" t="n">
        <v>103.3</v>
      </c>
      <c r="AC15" s="6" t="n">
        <v>121.5</v>
      </c>
      <c r="AD15" s="6" t="n">
        <v>108.2</v>
      </c>
      <c r="AE15" s="6" t="n">
        <v>107.3</v>
      </c>
      <c r="AF15" s="6" t="n">
        <v>109.2</v>
      </c>
      <c r="AG15" s="6" t="n">
        <v>117.9</v>
      </c>
      <c r="AH15" s="6" t="n">
        <v>114.6</v>
      </c>
      <c r="AI15" s="6" t="n">
        <v>119.4</v>
      </c>
      <c r="AJ15" s="6" t="n">
        <v>112</v>
      </c>
      <c r="AK15" s="6" t="n">
        <v>112.7</v>
      </c>
      <c r="AL15" s="6" t="n">
        <v>111.8</v>
      </c>
      <c r="AM15" s="6" t="n">
        <v>115.8</v>
      </c>
      <c r="AN15" s="6" t="n">
        <v>114.4</v>
      </c>
      <c r="AO15" s="6" t="n">
        <v>119.7</v>
      </c>
      <c r="AP15" s="6" t="n">
        <v>90.5</v>
      </c>
      <c r="AQ15" s="6" t="n">
        <v>98.3</v>
      </c>
      <c r="AR15" s="6" t="n">
        <v>101.1</v>
      </c>
      <c r="AS15" s="6" t="n">
        <v>101.7</v>
      </c>
      <c r="AT15" s="6" t="n">
        <v>104.7</v>
      </c>
      <c r="AU15" s="6" t="n">
        <v>105.4</v>
      </c>
      <c r="AV15" s="6" t="n">
        <v>105.8</v>
      </c>
      <c r="AW15" s="6" t="n">
        <v>106</v>
      </c>
      <c r="AX15" s="6" t="n">
        <v>106.2</v>
      </c>
      <c r="AY15" s="6" t="n">
        <v>105.4</v>
      </c>
      <c r="AZ15" s="6" t="n">
        <v>106</v>
      </c>
      <c r="BA15" s="6" t="n">
        <v>107.8</v>
      </c>
      <c r="BB15" s="6" t="n">
        <v>107.5</v>
      </c>
      <c r="BC15" s="6" t="n">
        <v>108.3</v>
      </c>
      <c r="BD15" s="6" t="n">
        <v>108.5</v>
      </c>
      <c r="BE15" s="6" t="n">
        <v>103.5</v>
      </c>
      <c r="BF15" s="6" t="n">
        <v>103</v>
      </c>
      <c r="BG15" s="6" t="n">
        <v>103.3</v>
      </c>
      <c r="BH15" s="6" t="n">
        <v>104.3</v>
      </c>
      <c r="BI15" s="6" t="n">
        <v>106</v>
      </c>
      <c r="BJ15" s="6" t="n">
        <v>107.5</v>
      </c>
      <c r="BK15" s="6" t="n">
        <v>109.4</v>
      </c>
      <c r="BL15" s="6" t="n">
        <v>110</v>
      </c>
      <c r="BM15" s="6" t="n">
        <v>111</v>
      </c>
      <c r="BN15" s="6" t="n">
        <v>112.2</v>
      </c>
      <c r="BO15" s="6" t="n">
        <v>108.9</v>
      </c>
      <c r="BP15" s="6" t="n">
        <v>107.3</v>
      </c>
      <c r="BQ15" s="6" t="n">
        <v>108.9</v>
      </c>
      <c r="BR15" s="6" t="n">
        <v>107.5</v>
      </c>
      <c r="BS15" s="6" t="n">
        <v>108.1</v>
      </c>
      <c r="BT15" s="6" t="n">
        <v>106.6</v>
      </c>
      <c r="BU15" s="6" t="n">
        <v>106.6</v>
      </c>
      <c r="BV15" s="6" t="n">
        <v>107.2</v>
      </c>
      <c r="BW15" s="6" t="n">
        <v>106.7</v>
      </c>
      <c r="BX15" s="6" t="n">
        <v>107</v>
      </c>
      <c r="BY15" s="6" t="n">
        <v>110</v>
      </c>
      <c r="BZ15" s="6" t="n">
        <v>116.2</v>
      </c>
      <c r="CA15" s="6" t="n">
        <v>118.7</v>
      </c>
      <c r="CB15" s="6" t="n">
        <v>149</v>
      </c>
      <c r="CC15" s="6" t="n">
        <v>114.3</v>
      </c>
      <c r="CD15" s="6" t="n">
        <v>113.6</v>
      </c>
    </row>
    <row r="16" customFormat="false" ht="15.75" hidden="false" customHeight="true" outlineLevel="0" collapsed="false">
      <c r="A16" s="1" t="n">
        <v>1726</v>
      </c>
      <c r="B16" s="1" t="s">
        <v>138</v>
      </c>
      <c r="C16" s="1" t="s">
        <v>139</v>
      </c>
      <c r="D16" s="1" t="s">
        <v>140</v>
      </c>
      <c r="E16" s="1" t="s">
        <v>141</v>
      </c>
      <c r="F16" s="6" t="n">
        <v>111.3</v>
      </c>
      <c r="G16" s="6" t="n">
        <v>114</v>
      </c>
      <c r="H16" s="6" t="n">
        <v>109.4</v>
      </c>
      <c r="I16" s="6" t="n">
        <v>97.9</v>
      </c>
      <c r="J16" s="6" t="n">
        <v>94.5</v>
      </c>
      <c r="K16" s="6" t="n">
        <v>101.9</v>
      </c>
      <c r="L16" s="6" t="n">
        <v>101.2</v>
      </c>
      <c r="M16" s="6" t="n">
        <v>102.3</v>
      </c>
      <c r="N16" s="6" t="n">
        <v>105.4</v>
      </c>
      <c r="O16" s="6" t="n">
        <v>107.4</v>
      </c>
      <c r="P16" s="6" t="n">
        <v>107.6</v>
      </c>
      <c r="Q16" s="6" t="n">
        <v>112.2</v>
      </c>
      <c r="R16" s="6" t="n">
        <v>120.7</v>
      </c>
      <c r="S16" s="6" t="n">
        <v>121.1</v>
      </c>
      <c r="T16" s="6" t="n">
        <v>121.9</v>
      </c>
      <c r="U16" s="6" t="n">
        <v>115.3</v>
      </c>
      <c r="V16" s="6" t="n">
        <v>123</v>
      </c>
      <c r="W16" s="6" t="n">
        <v>117.4</v>
      </c>
      <c r="X16" s="6" t="n">
        <v>117.9</v>
      </c>
      <c r="Y16" s="6" t="n">
        <v>117.4</v>
      </c>
      <c r="Z16" s="6" t="n">
        <v>115.4</v>
      </c>
      <c r="AA16" s="6" t="n">
        <v>116.3</v>
      </c>
      <c r="AB16" s="6" t="n">
        <v>116.9</v>
      </c>
      <c r="AC16" s="6" t="n">
        <v>136.5</v>
      </c>
      <c r="AD16" s="6" t="n">
        <v>118</v>
      </c>
      <c r="AE16" s="6" t="n">
        <v>118.4</v>
      </c>
      <c r="AF16" s="6" t="n">
        <v>121.5</v>
      </c>
      <c r="AG16" s="6" t="n">
        <v>124.9</v>
      </c>
      <c r="AH16" s="6" t="n">
        <v>123.2</v>
      </c>
      <c r="AI16" s="6" t="n">
        <v>127.1</v>
      </c>
      <c r="AJ16" s="6" t="n">
        <v>123.1</v>
      </c>
      <c r="AK16" s="6" t="n">
        <v>122.3</v>
      </c>
      <c r="AL16" s="6" t="n">
        <v>121.6</v>
      </c>
      <c r="AM16" s="6" t="n">
        <v>129.8</v>
      </c>
      <c r="AN16" s="6" t="n">
        <v>131.4</v>
      </c>
      <c r="AO16" s="6" t="n">
        <v>129.7</v>
      </c>
      <c r="AP16" s="6" t="n">
        <v>100.6</v>
      </c>
      <c r="AQ16" s="6" t="n">
        <v>103</v>
      </c>
      <c r="AR16" s="6" t="n">
        <v>106.3</v>
      </c>
      <c r="AS16" s="6" t="n">
        <v>106.4</v>
      </c>
      <c r="AT16" s="6" t="n">
        <v>112</v>
      </c>
      <c r="AU16" s="6" t="n">
        <v>110.4</v>
      </c>
      <c r="AV16" s="6" t="n">
        <v>112.5</v>
      </c>
      <c r="AW16" s="6" t="n">
        <v>113.1</v>
      </c>
      <c r="AX16" s="6" t="n">
        <v>114.4</v>
      </c>
      <c r="AY16" s="6" t="n">
        <v>114.6</v>
      </c>
      <c r="AZ16" s="6" t="n">
        <v>114.9</v>
      </c>
      <c r="BA16" s="6" t="n">
        <v>113.7</v>
      </c>
      <c r="BB16" s="6" t="n">
        <v>116</v>
      </c>
      <c r="BC16" s="6" t="n">
        <v>114.1</v>
      </c>
      <c r="BD16" s="6" t="n">
        <v>112.3</v>
      </c>
      <c r="BE16" s="6" t="n">
        <v>111.7</v>
      </c>
      <c r="BF16" s="6" t="n">
        <v>110.6</v>
      </c>
      <c r="BG16" s="6" t="n">
        <v>109.1</v>
      </c>
      <c r="BH16" s="6" t="n">
        <v>107.4</v>
      </c>
      <c r="BI16" s="6" t="n">
        <v>108</v>
      </c>
      <c r="BJ16" s="6" t="n">
        <v>107.6</v>
      </c>
      <c r="BK16" s="6" t="n">
        <v>108.4</v>
      </c>
      <c r="BL16" s="6" t="n">
        <v>109</v>
      </c>
      <c r="BM16" s="6" t="n">
        <v>109.9</v>
      </c>
      <c r="BN16" s="6" t="n">
        <v>108.3</v>
      </c>
      <c r="BO16" s="6" t="n">
        <v>110.4</v>
      </c>
      <c r="BP16" s="6" t="n">
        <v>109.3</v>
      </c>
      <c r="BQ16" s="6" t="n">
        <v>109.1</v>
      </c>
      <c r="BR16" s="6" t="n">
        <v>108.6</v>
      </c>
      <c r="BS16" s="6" t="n">
        <v>111.2</v>
      </c>
      <c r="BT16" s="6" t="n">
        <v>111.1</v>
      </c>
      <c r="BU16" s="6" t="n">
        <v>111.4</v>
      </c>
      <c r="BV16" s="6" t="n">
        <v>112.5</v>
      </c>
      <c r="BW16" s="6" t="n">
        <v>112</v>
      </c>
      <c r="BX16" s="6" t="n">
        <v>113.2</v>
      </c>
      <c r="BY16" s="6" t="n">
        <v>113</v>
      </c>
      <c r="BZ16" s="6" t="n">
        <v>114.8</v>
      </c>
      <c r="CA16" s="6" t="n">
        <v>113.2</v>
      </c>
      <c r="CB16" s="6" t="n">
        <v>98.5</v>
      </c>
      <c r="CC16" s="6" t="n">
        <v>110.7</v>
      </c>
      <c r="CD16" s="6" t="n">
        <v>118.4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D2" activeCellId="0" sqref="AD2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1.5"/>
    <col collapsed="false" customWidth="true" hidden="false" outlineLevel="0" max="3" min="3" style="1" width="21"/>
    <col collapsed="false" customWidth="true" hidden="false" outlineLevel="0" max="4" min="4" style="1" width="19.5"/>
    <col collapsed="false" customWidth="true" hidden="false" outlineLevel="0" max="5" min="5" style="1" width="23.16"/>
    <col collapsed="false" customWidth="true" hidden="false" outlineLevel="0" max="46" min="6" style="1" width="11.83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  <c r="AG1" s="3" t="s">
        <v>68</v>
      </c>
      <c r="AH1" s="3" t="s">
        <v>69</v>
      </c>
      <c r="AI1" s="3" t="s">
        <v>70</v>
      </c>
      <c r="AJ1" s="3" t="s">
        <v>71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76</v>
      </c>
      <c r="AP1" s="3" t="s">
        <v>77</v>
      </c>
      <c r="AQ1" s="3" t="s">
        <v>78</v>
      </c>
      <c r="AR1" s="3" t="s">
        <v>79</v>
      </c>
      <c r="AS1" s="3" t="s">
        <v>80</v>
      </c>
      <c r="AT1" s="3" t="s">
        <v>81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10646603.2</v>
      </c>
      <c r="G2" s="6" t="n">
        <v>24643400.7</v>
      </c>
      <c r="H2" s="6" t="n">
        <v>41990005.5</v>
      </c>
      <c r="I2" s="6" t="n">
        <v>61199900</v>
      </c>
      <c r="J2" s="6" t="n">
        <v>98063926.6</v>
      </c>
      <c r="K2" s="6" t="n">
        <v>122459004.5</v>
      </c>
      <c r="L2" s="6" t="n">
        <v>143604874.3</v>
      </c>
      <c r="M2" s="6" t="n">
        <v>169686583.1</v>
      </c>
      <c r="N2" s="6" t="n">
        <v>241588387</v>
      </c>
      <c r="O2" s="6" t="n">
        <v>276110179.8</v>
      </c>
      <c r="P2" s="6" t="n">
        <v>258764498.9</v>
      </c>
      <c r="Q2" s="6" t="n">
        <v>320443137.7</v>
      </c>
      <c r="R2" s="6" t="n">
        <v>26491386.6</v>
      </c>
      <c r="S2" s="6" t="n">
        <v>53637163.3</v>
      </c>
      <c r="T2" s="6" t="n">
        <v>84826000</v>
      </c>
      <c r="U2" s="6" t="n">
        <v>117648940.2</v>
      </c>
      <c r="V2" s="6" t="n">
        <v>154922150.9</v>
      </c>
      <c r="W2" s="6" t="n">
        <v>147013556.3</v>
      </c>
      <c r="X2" s="6" t="n">
        <v>216051626</v>
      </c>
      <c r="Y2" s="6" t="n">
        <v>253439502.3</v>
      </c>
      <c r="Z2" s="6" t="n">
        <v>290680557.9</v>
      </c>
      <c r="AA2" s="6" t="n">
        <v>331632441.8</v>
      </c>
      <c r="AB2" s="6" t="n">
        <v>371522169.4</v>
      </c>
      <c r="AC2" s="6" t="n">
        <v>455343219.3</v>
      </c>
      <c r="AD2" s="6" t="n">
        <v>30683175.5</v>
      </c>
      <c r="AE2" s="6" t="n">
        <v>63177647.6</v>
      </c>
      <c r="AF2" s="6" t="n">
        <v>98594148.3</v>
      </c>
      <c r="AG2" s="6" t="n">
        <v>136098253.2</v>
      </c>
      <c r="AH2" s="6" t="n">
        <v>172044493.5</v>
      </c>
      <c r="AI2" s="6" t="n">
        <v>220639389</v>
      </c>
      <c r="AJ2" s="6" t="n">
        <v>256033264.6</v>
      </c>
      <c r="AK2" s="6" t="n">
        <v>301502949</v>
      </c>
      <c r="AL2" s="6" t="n">
        <v>346597328.5</v>
      </c>
      <c r="AM2" s="6" t="n">
        <v>393865713.2</v>
      </c>
      <c r="AN2" s="6" t="n">
        <v>443425855.1</v>
      </c>
      <c r="AO2" s="6" t="n">
        <v>543262946.5</v>
      </c>
      <c r="AP2" s="6" t="n">
        <v>35382532.2</v>
      </c>
      <c r="AQ2" s="6" t="n">
        <v>73683006.8</v>
      </c>
      <c r="AR2" s="6" t="n">
        <v>109857435.1</v>
      </c>
      <c r="AS2" s="6" t="n">
        <v>155875495.7</v>
      </c>
      <c r="AT2" s="6" t="n">
        <v>209361159.9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I29" activeCellId="0" sqref="I29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1.5"/>
    <col collapsed="false" customWidth="true" hidden="false" outlineLevel="0" max="3" min="3" style="1" width="21"/>
    <col collapsed="false" customWidth="true" hidden="false" outlineLevel="0" max="4" min="4" style="1" width="19.5"/>
    <col collapsed="false" customWidth="true" hidden="false" outlineLevel="0" max="5" min="5" style="1" width="23.16"/>
    <col collapsed="false" customWidth="true" hidden="false" outlineLevel="0" max="46" min="6" style="1" width="11.83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  <c r="AG1" s="3" t="s">
        <v>68</v>
      </c>
      <c r="AH1" s="3" t="s">
        <v>69</v>
      </c>
      <c r="AI1" s="3" t="s">
        <v>70</v>
      </c>
      <c r="AJ1" s="3" t="s">
        <v>71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76</v>
      </c>
      <c r="AP1" s="3" t="s">
        <v>77</v>
      </c>
      <c r="AQ1" s="3" t="s">
        <v>78</v>
      </c>
      <c r="AR1" s="3" t="s">
        <v>79</v>
      </c>
      <c r="AS1" s="3" t="s">
        <v>80</v>
      </c>
      <c r="AT1" s="3" t="s">
        <v>81</v>
      </c>
    </row>
    <row r="2" customFormat="false" ht="15.75" hidden="false" customHeight="true" outlineLevel="0" collapsed="false">
      <c r="A2" s="1" t="n">
        <v>1700</v>
      </c>
      <c r="B2" s="1" t="s">
        <v>82</v>
      </c>
      <c r="C2" s="1" t="s">
        <v>83</v>
      </c>
      <c r="D2" s="1" t="s">
        <v>84</v>
      </c>
      <c r="E2" s="1" t="s">
        <v>85</v>
      </c>
      <c r="F2" s="6" t="n">
        <v>103.3</v>
      </c>
      <c r="G2" s="6" t="n">
        <v>106.9</v>
      </c>
      <c r="H2" s="6" t="n">
        <v>108.8</v>
      </c>
      <c r="I2" s="6" t="n">
        <v>107.5</v>
      </c>
      <c r="J2" s="6" t="n">
        <v>110.9</v>
      </c>
      <c r="K2" s="6" t="n">
        <v>108.8</v>
      </c>
      <c r="L2" s="6" t="n">
        <v>110.5</v>
      </c>
      <c r="M2" s="6" t="n">
        <v>111.2</v>
      </c>
      <c r="N2" s="6" t="n">
        <v>112.2</v>
      </c>
      <c r="O2" s="6" t="n">
        <v>112.5</v>
      </c>
      <c r="P2" s="6" t="n">
        <v>113</v>
      </c>
      <c r="Q2" s="6" t="n">
        <v>112.2</v>
      </c>
      <c r="R2" s="6" t="n">
        <v>113.5</v>
      </c>
      <c r="S2" s="6" t="n">
        <v>112.9</v>
      </c>
      <c r="T2" s="6" t="n">
        <v>112.8</v>
      </c>
      <c r="U2" s="6" t="n">
        <v>112.3</v>
      </c>
      <c r="V2" s="6" t="n">
        <v>111.4</v>
      </c>
      <c r="W2" s="6" t="n">
        <v>110.6</v>
      </c>
      <c r="X2" s="6" t="n">
        <v>110.1</v>
      </c>
      <c r="Y2" s="6" t="n">
        <v>110.4</v>
      </c>
      <c r="Z2" s="6" t="n">
        <v>110</v>
      </c>
      <c r="AA2" s="6" t="n">
        <v>110.6</v>
      </c>
      <c r="AB2" s="6" t="n">
        <v>111.1</v>
      </c>
      <c r="AC2" s="6" t="n">
        <v>111.4</v>
      </c>
      <c r="AD2" s="6" t="n">
        <v>110.6</v>
      </c>
      <c r="AE2" s="6" t="n">
        <v>112.3</v>
      </c>
      <c r="AF2" s="6" t="n">
        <v>110.7</v>
      </c>
      <c r="AG2" s="6" t="n">
        <v>110.1</v>
      </c>
      <c r="AH2" s="6" t="n">
        <v>109.8</v>
      </c>
      <c r="AI2" s="6" t="n">
        <v>112.4</v>
      </c>
      <c r="AJ2" s="6" t="n">
        <v>112.1</v>
      </c>
      <c r="AK2" s="6" t="n">
        <v>112.4</v>
      </c>
      <c r="AL2" s="6" t="n">
        <v>112.6</v>
      </c>
      <c r="AM2" s="6" t="n">
        <v>112.2</v>
      </c>
      <c r="AN2" s="6" t="n">
        <v>112.8</v>
      </c>
      <c r="AO2" s="6" t="n">
        <v>112.5</v>
      </c>
      <c r="AP2" s="6" t="n">
        <v>115.6</v>
      </c>
      <c r="AQ2" s="6" t="n">
        <v>116.5</v>
      </c>
      <c r="AR2" s="6" t="n">
        <v>110.9</v>
      </c>
      <c r="AS2" s="6" t="n">
        <v>112.7</v>
      </c>
      <c r="AT2" s="6" t="n">
        <v>115.4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3" topLeftCell="A4" activePane="bottomLeft" state="frozen"/>
      <selection pane="topLeft" activeCell="A1" activeCellId="0" sqref="A1"/>
      <selection pane="bottomLeft" activeCell="N28" activeCellId="0" sqref="N28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6" width="14.16"/>
    <col collapsed="false" customWidth="true" hidden="false" outlineLevel="0" max="3" min="3" style="1" width="19.16"/>
    <col collapsed="false" customWidth="true" hidden="false" outlineLevel="0" max="4" min="4" style="1" width="15.83"/>
    <col collapsed="false" customWidth="true" hidden="false" outlineLevel="0" max="6" min="6" style="1" width="6"/>
    <col collapsed="false" customWidth="true" hidden="false" outlineLevel="0" max="7" min="7" style="1" width="32"/>
    <col collapsed="false" customWidth="true" hidden="false" outlineLevel="0" max="8" min="8" style="1" width="14"/>
    <col collapsed="false" customWidth="true" hidden="false" outlineLevel="0" max="10" min="10" style="1" width="30"/>
    <col collapsed="false" customWidth="true" hidden="false" outlineLevel="0" max="11" min="11" style="1" width="18"/>
  </cols>
  <sheetData>
    <row r="1" customFormat="false" ht="15.75" hidden="false" customHeight="true" outlineLevel="0" collapsed="false">
      <c r="A1" s="7" t="s">
        <v>157</v>
      </c>
    </row>
    <row r="3" customFormat="false" ht="15.75" hidden="false" customHeight="true" outlineLevel="0" collapsed="false">
      <c r="A3" s="8" t="s">
        <v>158</v>
      </c>
      <c r="B3" s="9" t="s">
        <v>159</v>
      </c>
      <c r="C3" s="10" t="s">
        <v>160</v>
      </c>
      <c r="D3" s="7" t="s">
        <v>161</v>
      </c>
    </row>
    <row r="4" customFormat="false" ht="15.75" hidden="false" customHeight="true" outlineLevel="0" collapsed="false">
      <c r="A4" s="11" t="n">
        <v>2010</v>
      </c>
      <c r="B4" s="12" t="n">
        <f aca="false">INDEX('Yillik hajm'!$F$2:$T$2, MATCH(TEXT(A4,"0"), 'Yillik hajm'!$F$1:$T$1, 0))</f>
        <v>11774100</v>
      </c>
      <c r="C4" s="6"/>
      <c r="D4" s="6" t="n">
        <f aca="false">(INDEX('Yillik indeks'!$F$2:$T$2, MATCH(TEXT(A4,"0"), 'Yillik indeks'!$F$1:$T$1, 0))-100)</f>
        <v>25.6</v>
      </c>
    </row>
    <row r="5" customFormat="false" ht="15.75" hidden="false" customHeight="true" outlineLevel="0" collapsed="false">
      <c r="A5" s="11" t="n">
        <v>2011</v>
      </c>
      <c r="B5" s="12" t="n">
        <f aca="false">INDEX('Yillik hajm'!$F$2:$T$2, MATCH(TEXT(A5,"0"), 'Yillik hajm'!$F$1:$T$1, 0))</f>
        <v>15476700</v>
      </c>
      <c r="C5" s="6" t="n">
        <f aca="false">(B5/B4-1)*100</f>
        <v>31.4469895788213</v>
      </c>
      <c r="D5" s="6" t="n">
        <f aca="false">(INDEX('Yillik indeks'!$F$2:$T$2, MATCH(TEXT(A5,"0"), 'Yillik indeks'!$F$1:$T$1, 0))-100)</f>
        <v>14.6</v>
      </c>
    </row>
    <row r="6" customFormat="false" ht="15.75" hidden="false" customHeight="true" outlineLevel="0" collapsed="false">
      <c r="A6" s="11" t="n">
        <v>2012</v>
      </c>
      <c r="B6" s="12" t="n">
        <f aca="false">INDEX('Yillik hajm'!$F$2:$T$2, MATCH(TEXT(A6,"0"), 'Yillik hajm'!$F$1:$T$1, 0))</f>
        <v>18018800</v>
      </c>
      <c r="C6" s="6" t="n">
        <f aca="false">(B6/B5-1)*100</f>
        <v>16.4253361504714</v>
      </c>
      <c r="D6" s="6" t="n">
        <f aca="false">(INDEX('Yillik indeks'!$F$2:$T$2, MATCH(TEXT(A6,"0"), 'Yillik indeks'!$F$1:$T$1, 0))-100)</f>
        <v>15.4</v>
      </c>
    </row>
    <row r="7" customFormat="false" ht="15.75" hidden="false" customHeight="true" outlineLevel="0" collapsed="false">
      <c r="A7" s="11" t="n">
        <v>2013</v>
      </c>
      <c r="B7" s="12" t="n">
        <f aca="false">INDEX('Yillik hajm'!$F$2:$T$2, MATCH(TEXT(A7,"0"), 'Yillik hajm'!$F$1:$T$1, 0))</f>
        <v>22001677.2</v>
      </c>
      <c r="C7" s="6" t="n">
        <f aca="false">(B7/B6-1)*100</f>
        <v>22.1040091460031</v>
      </c>
      <c r="D7" s="6" t="n">
        <f aca="false">(INDEX('Yillik indeks'!$F$2:$T$2, MATCH(TEXT(A7,"0"), 'Yillik indeks'!$F$1:$T$1, 0))-100)</f>
        <v>9.09999999999999</v>
      </c>
    </row>
    <row r="8" customFormat="false" ht="15.75" hidden="false" customHeight="true" outlineLevel="0" collapsed="false">
      <c r="A8" s="11" t="n">
        <v>2014</v>
      </c>
      <c r="B8" s="12" t="n">
        <f aca="false">INDEX('Yillik hajm'!$F$2:$T$2, MATCH(TEXT(A8,"0"), 'Yillik hajm'!$F$1:$T$1, 0))</f>
        <v>25512624.2</v>
      </c>
      <c r="C8" s="6" t="n">
        <f aca="false">(B8/B7-1)*100</f>
        <v>15.9576334480537</v>
      </c>
      <c r="D8" s="6" t="n">
        <f aca="false">(INDEX('Yillik indeks'!$F$2:$T$2, MATCH(TEXT(A8,"0"), 'Yillik indeks'!$F$1:$T$1, 0))-100)</f>
        <v>10.1</v>
      </c>
    </row>
    <row r="9" customFormat="false" ht="15.75" hidden="false" customHeight="true" outlineLevel="0" collapsed="false">
      <c r="A9" s="11" t="n">
        <v>2015</v>
      </c>
      <c r="B9" s="12" t="n">
        <f aca="false">INDEX('Yillik hajm'!$F$2:$T$2, MATCH(TEXT(A9,"0"), 'Yillik hajm'!$F$1:$T$1, 0))</f>
        <v>29156201.9</v>
      </c>
      <c r="C9" s="6" t="n">
        <f aca="false">(B9/B8-1)*100</f>
        <v>14.2814697203904</v>
      </c>
      <c r="D9" s="6" t="n">
        <f aca="false">(INDEX('Yillik indeks'!$F$2:$T$2, MATCH(TEXT(A9,"0"), 'Yillik indeks'!$F$1:$T$1, 0))-100)</f>
        <v>7.40000000000001</v>
      </c>
    </row>
    <row r="10" customFormat="false" ht="15.75" hidden="false" customHeight="true" outlineLevel="0" collapsed="false">
      <c r="A10" s="11" t="n">
        <v>2016</v>
      </c>
      <c r="B10" s="12" t="n">
        <f aca="false">INDEX('Yillik hajm'!$F$2:$T$2, MATCH(TEXT(A10,"0"), 'Yillik hajm'!$F$1:$T$1, 0))</f>
        <v>35396463.1</v>
      </c>
      <c r="C10" s="6" t="n">
        <f aca="false">(B10/B9-1)*100</f>
        <v>21.4028604322431</v>
      </c>
      <c r="D10" s="6" t="n">
        <f aca="false">(INDEX('Yillik indeks'!$F$2:$T$2, MATCH(TEXT(A10,"0"), 'Yillik indeks'!$F$1:$T$1, 0))-100)</f>
        <v>12.3</v>
      </c>
    </row>
    <row r="11" customFormat="false" ht="15.75" hidden="false" customHeight="true" outlineLevel="0" collapsed="false">
      <c r="A11" s="11" t="n">
        <v>2017</v>
      </c>
      <c r="B11" s="12" t="n">
        <f aca="false">INDEX('Yillik hajm'!$F$2:$T$2, MATCH(TEXT(A11,"0"), 'Yillik hajm'!$F$1:$T$1, 0))</f>
        <v>38799693.2</v>
      </c>
      <c r="C11" s="6" t="n">
        <f aca="false">(B11/B10-1)*100</f>
        <v>9.61460496882245</v>
      </c>
      <c r="D11" s="6" t="n">
        <f aca="false">(INDEX('Yillik indeks'!$F$2:$T$2, MATCH(TEXT(A11,"0"), 'Yillik indeks'!$F$1:$T$1, 0))-100)</f>
        <v>-6</v>
      </c>
    </row>
    <row r="12" customFormat="false" ht="15.75" hidden="false" customHeight="true" outlineLevel="0" collapsed="false">
      <c r="A12" s="11" t="n">
        <v>2018</v>
      </c>
      <c r="B12" s="12" t="n">
        <f aca="false">INDEX('Yillik hajm'!$F$2:$T$2, MATCH(TEXT(A12,"0"), 'Yillik hajm'!$F$1:$T$1, 0))</f>
        <v>57481979.6</v>
      </c>
      <c r="C12" s="6" t="n">
        <f aca="false">(B12/B11-1)*100</f>
        <v>48.1506034176579</v>
      </c>
      <c r="D12" s="6" t="n">
        <f aca="false">(INDEX('Yillik indeks'!$F$2:$T$2, MATCH(TEXT(A12,"0"), 'Yillik indeks'!$F$1:$T$1, 0))-100)</f>
        <v>24.7</v>
      </c>
    </row>
    <row r="13" customFormat="false" ht="15.75" hidden="false" customHeight="true" outlineLevel="0" collapsed="false">
      <c r="A13" s="11" t="n">
        <v>2019</v>
      </c>
      <c r="B13" s="12" t="n">
        <f aca="false">INDEX('Yillik hajm'!$F$2:$T$2, MATCH(TEXT(A13,"0"), 'Yillik hajm'!$F$1:$T$1, 0))</f>
        <v>86538273.7</v>
      </c>
      <c r="C13" s="6" t="n">
        <f aca="false">(B13/B12-1)*100</f>
        <v>50.5485272118221</v>
      </c>
      <c r="D13" s="6" t="n">
        <f aca="false">(INDEX('Yillik indeks'!$F$2:$T$2, MATCH(TEXT(A13,"0"), 'Yillik indeks'!$F$1:$T$1, 0))-100)</f>
        <v>31.7</v>
      </c>
    </row>
    <row r="14" customFormat="false" ht="15.75" hidden="false" customHeight="true" outlineLevel="0" collapsed="false">
      <c r="A14" s="11" t="n">
        <v>2020</v>
      </c>
      <c r="B14" s="12" t="n">
        <f aca="false">INDEX('Yillik hajm'!$F$2:$T$2, MATCH(TEXT(A14,"0"), 'Yillik hajm'!$F$1:$T$1, 0))</f>
        <v>128741736.2</v>
      </c>
      <c r="C14" s="6" t="n">
        <f aca="false">(B14/B13-1)*100</f>
        <v>48.7685514114895</v>
      </c>
      <c r="D14" s="6" t="n">
        <f aca="false">(INDEX('Yillik indeks'!$F$2:$T$2, MATCH(TEXT(A14,"0"), 'Yillik indeks'!$F$1:$T$1, 0))-100)</f>
        <v>30.9</v>
      </c>
    </row>
    <row r="15" customFormat="false" ht="15.75" hidden="false" customHeight="true" outlineLevel="0" collapsed="false">
      <c r="A15" s="11" t="n">
        <v>2021</v>
      </c>
      <c r="B15" s="12" t="n">
        <f aca="false">INDEX('Yillik hajm'!$F$2:$T$2, MATCH(TEXT(A15,"0"), 'Yillik hajm'!$F$1:$T$1, 0))</f>
        <v>183112282.4</v>
      </c>
      <c r="C15" s="6" t="n">
        <f aca="false">(B15/B14-1)*100</f>
        <v>42.2322611181315</v>
      </c>
      <c r="D15" s="6" t="n">
        <f aca="false">(INDEX('Yillik indeks'!$F$2:$T$2, MATCH(TEXT(A15,"0"), 'Yillik indeks'!$F$1:$T$1, 0))-100)</f>
        <v>27.4</v>
      </c>
    </row>
    <row r="16" customFormat="false" ht="15.75" hidden="false" customHeight="true" outlineLevel="0" collapsed="false">
      <c r="A16" s="11" t="n">
        <v>2022</v>
      </c>
      <c r="B16" s="12" t="n">
        <f aca="false">INDEX('Yillik hajm'!$F$2:$T$2, MATCH(TEXT(A16,"0"), 'Yillik hajm'!$F$1:$T$1, 0))</f>
        <v>258444045.4</v>
      </c>
      <c r="C16" s="6" t="n">
        <f aca="false">(B16/B15-1)*100</f>
        <v>41.1396559600745</v>
      </c>
      <c r="D16" s="6" t="n">
        <f aca="false">(INDEX('Yillik indeks'!$F$2:$T$2, MATCH(TEXT(A16,"0"), 'Yillik indeks'!$F$1:$T$1, 0))-100)</f>
        <v>25.1</v>
      </c>
    </row>
    <row r="17" customFormat="false" ht="15.75" hidden="false" customHeight="true" outlineLevel="0" collapsed="false">
      <c r="A17" s="11" t="n">
        <v>2023</v>
      </c>
      <c r="B17" s="12" t="n">
        <f aca="false">INDEX('Yillik hajm'!$F$2:$T$2, MATCH(TEXT(A17,"0"), 'Yillik hajm'!$F$1:$T$1, 0))</f>
        <v>385591909.6</v>
      </c>
      <c r="C17" s="6" t="n">
        <f aca="false">(B17/B16-1)*100</f>
        <v>49.1974438812124</v>
      </c>
      <c r="D17" s="6" t="n">
        <f aca="false">(INDEX('Yillik indeks'!$F$2:$T$2, MATCH(TEXT(A17,"0"), 'Yillik indeks'!$F$1:$T$1, 0))-100)</f>
        <v>15.6</v>
      </c>
    </row>
    <row r="18" customFormat="false" ht="15.75" hidden="false" customHeight="true" outlineLevel="0" collapsed="false">
      <c r="A18" s="11" t="n">
        <v>2024</v>
      </c>
      <c r="B18" s="12" t="n">
        <f aca="false">INDEX('Yillik hajm'!$F$2:$T$2, MATCH(TEXT(A18,"0"), 'Yillik hajm'!$F$1:$T$1, 0))</f>
        <v>456623261</v>
      </c>
      <c r="C18" s="6" t="n">
        <f aca="false">(B18/B17-1)*100</f>
        <v>18.4213801253469</v>
      </c>
      <c r="D18" s="6" t="n">
        <f aca="false">(INDEX('Yillik indeks'!$F$2:$T$2, MATCH(TEXT(A18,"0"), 'Yillik indeks'!$F$1:$T$1, 0))-100)</f>
        <v>11.8</v>
      </c>
    </row>
    <row r="21" customFormat="false" ht="15.75" hidden="false" customHeight="true" outlineLevel="0" collapsed="false">
      <c r="A21" s="7" t="s">
        <v>162</v>
      </c>
      <c r="F21" s="7" t="s">
        <v>163</v>
      </c>
      <c r="J21" s="7" t="s">
        <v>164</v>
      </c>
    </row>
    <row r="22" customFormat="false" ht="15.75" hidden="false" customHeight="true" outlineLevel="0" collapsed="false">
      <c r="A22" s="7" t="s">
        <v>165</v>
      </c>
      <c r="B22" s="9" t="s">
        <v>166</v>
      </c>
      <c r="C22" s="7" t="s">
        <v>167</v>
      </c>
      <c r="D22" s="7" t="s">
        <v>168</v>
      </c>
      <c r="F22" s="7" t="s">
        <v>169</v>
      </c>
      <c r="G22" s="7" t="s">
        <v>165</v>
      </c>
      <c r="H22" s="7" t="s">
        <v>168</v>
      </c>
      <c r="J22" s="7" t="s">
        <v>170</v>
      </c>
      <c r="K22" s="12" t="n">
        <f aca="false">'Yillik hajm'!T2</f>
        <v>456623261</v>
      </c>
    </row>
    <row r="23" customFormat="false" ht="15.75" hidden="false" customHeight="true" outlineLevel="0" collapsed="false">
      <c r="A23" s="1" t="str">
        <f aca="false">'Yillik hajm'!B16</f>
        <v>Toshkent shahri</v>
      </c>
      <c r="B23" s="12" t="n">
        <f aca="false">'Yillik hajm'!T16</f>
        <v>245754010.1</v>
      </c>
      <c r="C23" s="6" t="n">
        <f aca="false">B23/'Yillik hajm'!$T$2*100</f>
        <v>53.8198622562069</v>
      </c>
      <c r="D23" s="6" t="n">
        <f aca="false">INDEX('Yillik indeks'!$T$3:$T$16,MATCH(A23,'Yillik indeks'!$B$3:$B$16,0))-100</f>
        <v>9.3</v>
      </c>
      <c r="F23" s="1" t="n">
        <v>1</v>
      </c>
      <c r="G23" s="1" t="str">
        <f aca="false">'Yillik indeks'!B6</f>
        <v>Jizzax viloyati</v>
      </c>
      <c r="H23" s="6" t="n">
        <f aca="false">'Yillik indeks'!T6-100</f>
        <v>50.5</v>
      </c>
      <c r="J23" s="1" t="s">
        <v>171</v>
      </c>
      <c r="K23" s="6" t="n">
        <f aca="false">('Yillik hajm'!T2/'Yillik hajm'!S2-1)*100</f>
        <v>18.4213801253469</v>
      </c>
    </row>
    <row r="24" customFormat="false" ht="15.75" hidden="false" customHeight="true" outlineLevel="0" collapsed="false">
      <c r="A24" s="1" t="str">
        <f aca="false">'Yillik hajm'!B13</f>
        <v>Toshkent viloyati</v>
      </c>
      <c r="B24" s="12" t="n">
        <f aca="false">'Yillik hajm'!T13</f>
        <v>53394901.8</v>
      </c>
      <c r="C24" s="6" t="n">
        <f aca="false">B24/'Yillik hajm'!$T$2*100</f>
        <v>11.6934257100844</v>
      </c>
      <c r="D24" s="6" t="n">
        <f aca="false">INDEX('Yillik indeks'!$T$3:$T$16,MATCH(A24,'Yillik indeks'!$B$3:$B$16,0))-100</f>
        <v>17.8</v>
      </c>
      <c r="F24" s="1" t="n">
        <v>2</v>
      </c>
      <c r="G24" s="1" t="str">
        <f aca="false">'Yillik indeks'!B13</f>
        <v>Toshkent viloyati</v>
      </c>
      <c r="H24" s="6" t="n">
        <f aca="false">'Yillik indeks'!T13-100</f>
        <v>17.8</v>
      </c>
      <c r="J24" s="1" t="s">
        <v>172</v>
      </c>
      <c r="K24" s="6" t="n">
        <f aca="false">'Yillik indeks'!T2-100</f>
        <v>11.8</v>
      </c>
    </row>
    <row r="25" customFormat="false" ht="15.75" hidden="false" customHeight="true" outlineLevel="0" collapsed="false">
      <c r="A25" s="1" t="str">
        <f aca="false">'Yillik hajm'!B10</f>
        <v>Samarqand viloyati</v>
      </c>
      <c r="B25" s="12" t="n">
        <f aca="false">'Yillik hajm'!T10</f>
        <v>27742479.6</v>
      </c>
      <c r="C25" s="6" t="n">
        <f aca="false">B25/'Yillik hajm'!$T$2*100</f>
        <v>6.07557300940917</v>
      </c>
      <c r="D25" s="6" t="n">
        <f aca="false">INDEX('Yillik indeks'!$T$3:$T$16,MATCH(A25,'Yillik indeks'!$B$3:$B$16,0))-100</f>
        <v>17.3</v>
      </c>
      <c r="F25" s="1" t="n">
        <v>3</v>
      </c>
      <c r="G25" s="1" t="str">
        <f aca="false">'Yillik indeks'!B10</f>
        <v>Samarqand viloyati</v>
      </c>
      <c r="H25" s="6" t="n">
        <f aca="false">'Yillik indeks'!T10-100</f>
        <v>17.3</v>
      </c>
      <c r="J25" s="1" t="s">
        <v>173</v>
      </c>
      <c r="K25" s="6" t="n">
        <f aca="false">(('Yillik hajm'!T2/'Yillik hajm'!F2)^(1/14)-1)*100</f>
        <v>29.8594603176145</v>
      </c>
    </row>
    <row r="26" customFormat="false" ht="15.75" hidden="false" customHeight="true" outlineLevel="0" collapsed="false">
      <c r="A26" s="1" t="str">
        <f aca="false">'Yillik hajm'!B14</f>
        <v>Farg‘ona  viloyati</v>
      </c>
      <c r="B26" s="12" t="n">
        <f aca="false">'Yillik hajm'!T14</f>
        <v>26686635.7</v>
      </c>
      <c r="C26" s="6" t="n">
        <f aca="false">B26/'Yillik hajm'!$T$2*100</f>
        <v>5.84434433794646</v>
      </c>
      <c r="D26" s="6" t="n">
        <f aca="false">INDEX('Yillik indeks'!$T$3:$T$16,MATCH(A26,'Yillik indeks'!$B$3:$B$16,0))-100</f>
        <v>14.4</v>
      </c>
      <c r="F26" s="1" t="n">
        <v>4</v>
      </c>
      <c r="G26" s="1" t="str">
        <f aca="false">'Yillik indeks'!B14</f>
        <v>Farg‘ona  viloyati</v>
      </c>
      <c r="H26" s="6" t="n">
        <f aca="false">'Yillik indeks'!T14-100</f>
        <v>14.4</v>
      </c>
      <c r="J26" s="1" t="s">
        <v>174</v>
      </c>
      <c r="K26" s="6" t="n">
        <f aca="false">'Yillik hajm'!T16/'Yillik hajm'!T2*100</f>
        <v>53.8198622562069</v>
      </c>
    </row>
    <row r="27" customFormat="false" ht="15.75" hidden="false" customHeight="true" outlineLevel="0" collapsed="false">
      <c r="A27" s="1" t="str">
        <f aca="false">'Yillik hajm'!B9</f>
        <v>Namangan viloyati</v>
      </c>
      <c r="B27" s="12" t="n">
        <f aca="false">'Yillik hajm'!T9</f>
        <v>18952290</v>
      </c>
      <c r="C27" s="6" t="n">
        <f aca="false">B27/'Yillik hajm'!$T$2*100</f>
        <v>4.15053099977752</v>
      </c>
      <c r="D27" s="6" t="n">
        <f aca="false">INDEX('Yillik indeks'!$T$3:$T$16,MATCH(A27,'Yillik indeks'!$B$3:$B$16,0))-100</f>
        <v>11.3</v>
      </c>
      <c r="F27" s="1" t="n">
        <v>5</v>
      </c>
      <c r="G27" s="1" t="str">
        <f aca="false">'Yillik indeks'!B15</f>
        <v>Xorazm viloyati</v>
      </c>
      <c r="H27" s="6" t="n">
        <f aca="false">'Yillik indeks'!T15-100</f>
        <v>13.8</v>
      </c>
    </row>
    <row r="28" customFormat="false" ht="15.75" hidden="false" customHeight="true" outlineLevel="0" collapsed="false">
      <c r="A28" s="1" t="str">
        <f aca="false">'Yillik hajm'!B5</f>
        <v>Buxoro viloyati</v>
      </c>
      <c r="B28" s="12" t="n">
        <f aca="false">'Yillik hajm'!T5</f>
        <v>17819675.8</v>
      </c>
      <c r="C28" s="6" t="n">
        <f aca="false">B28/'Yillik hajm'!$T$2*100</f>
        <v>3.90248971569585</v>
      </c>
      <c r="D28" s="6" t="n">
        <f aca="false">INDEX('Yillik indeks'!$T$3:$T$16,MATCH(A28,'Yillik indeks'!$B$3:$B$16,0))-100</f>
        <v>5.3</v>
      </c>
      <c r="F28" s="1" t="n">
        <v>6</v>
      </c>
      <c r="G28" s="1" t="str">
        <f aca="false">'Yillik indeks'!B12</f>
        <v>Sirdaryo viloyati</v>
      </c>
      <c r="H28" s="6" t="n">
        <f aca="false">'Yillik indeks'!T12-100</f>
        <v>12</v>
      </c>
    </row>
    <row r="29" customFormat="false" ht="15.75" hidden="false" customHeight="true" outlineLevel="0" collapsed="false">
      <c r="A29" s="1" t="str">
        <f aca="false">'Yillik hajm'!B4</f>
        <v>Andijon viloyati</v>
      </c>
      <c r="B29" s="12" t="n">
        <f aca="false">'Yillik hajm'!T4</f>
        <v>13235128</v>
      </c>
      <c r="C29" s="6" t="n">
        <f aca="false">B29/'Yillik hajm'!$T$2*100</f>
        <v>2.8984787089066</v>
      </c>
      <c r="D29" s="6" t="n">
        <f aca="false">INDEX('Yillik indeks'!$T$3:$T$16,MATCH(A29,'Yillik indeks'!$B$3:$B$16,0))-100</f>
        <v>8.59999999999999</v>
      </c>
      <c r="F29" s="1" t="n">
        <v>7</v>
      </c>
      <c r="G29" s="1" t="str">
        <f aca="false">'Yillik indeks'!B3</f>
        <v>Qoraqalpog‘iston Respublikasi</v>
      </c>
      <c r="H29" s="6" t="n">
        <f aca="false">'Yillik indeks'!T3-100</f>
        <v>11.8</v>
      </c>
    </row>
    <row r="30" customFormat="false" ht="15.75" hidden="false" customHeight="true" outlineLevel="0" collapsed="false">
      <c r="A30" s="1" t="str">
        <f aca="false">'Yillik hajm'!B11</f>
        <v>Surxondaryo viloyati</v>
      </c>
      <c r="B30" s="12" t="n">
        <f aca="false">'Yillik hajm'!T11</f>
        <v>10689931.1</v>
      </c>
      <c r="C30" s="6" t="n">
        <f aca="false">B30/'Yillik hajm'!$T$2*100</f>
        <v>2.34108334222597</v>
      </c>
      <c r="D30" s="6" t="n">
        <f aca="false">INDEX('Yillik indeks'!$T$3:$T$16,MATCH(A30,'Yillik indeks'!$B$3:$B$16,0))-100</f>
        <v>3.2</v>
      </c>
      <c r="F30" s="1" t="n">
        <v>8</v>
      </c>
      <c r="G30" s="1" t="str">
        <f aca="false">'Yillik indeks'!B7</f>
        <v>Qashqadaryo viloyati</v>
      </c>
      <c r="H30" s="6" t="n">
        <f aca="false">'Yillik indeks'!T7-100</f>
        <v>11.3</v>
      </c>
    </row>
    <row r="31" customFormat="false" ht="15.75" hidden="false" customHeight="true" outlineLevel="0" collapsed="false">
      <c r="A31" s="1" t="str">
        <f aca="false">'Yillik hajm'!B15</f>
        <v>Xorazm viloyati</v>
      </c>
      <c r="B31" s="12" t="n">
        <f aca="false">'Yillik hajm'!T15</f>
        <v>9265334.3</v>
      </c>
      <c r="C31" s="6" t="n">
        <f aca="false">B31/'Yillik hajm'!$T$2*100</f>
        <v>2.0290981847287</v>
      </c>
      <c r="D31" s="6" t="n">
        <f aca="false">INDEX('Yillik indeks'!$T$3:$T$16,MATCH(A31,'Yillik indeks'!$B$3:$B$16,0))-100</f>
        <v>13.8</v>
      </c>
      <c r="F31" s="1" t="n">
        <v>9</v>
      </c>
      <c r="G31" s="1" t="str">
        <f aca="false">'Yillik indeks'!B9</f>
        <v>Namangan viloyati</v>
      </c>
      <c r="H31" s="6" t="n">
        <f aca="false">'Yillik indeks'!T9-100</f>
        <v>11.3</v>
      </c>
    </row>
    <row r="32" customFormat="false" ht="15.75" hidden="false" customHeight="true" outlineLevel="0" collapsed="false">
      <c r="A32" s="1" t="str">
        <f aca="false">'Yillik hajm'!B7</f>
        <v>Qashqadaryo viloyati</v>
      </c>
      <c r="B32" s="12" t="n">
        <f aca="false">'Yillik hajm'!T7</f>
        <v>8949146.7</v>
      </c>
      <c r="C32" s="6" t="n">
        <f aca="false">B32/'Yillik hajm'!$T$2*100</f>
        <v>1.95985344250783</v>
      </c>
      <c r="D32" s="6" t="n">
        <f aca="false">INDEX('Yillik indeks'!$T$3:$T$16,MATCH(A32,'Yillik indeks'!$B$3:$B$16,0))-100</f>
        <v>11.3</v>
      </c>
      <c r="F32" s="1" t="n">
        <v>10</v>
      </c>
      <c r="G32" s="1" t="str">
        <f aca="false">'Yillik indeks'!B16</f>
        <v>Toshkent shahri</v>
      </c>
      <c r="H32" s="6" t="n">
        <f aca="false">'Yillik indeks'!T16-100</f>
        <v>9.3</v>
      </c>
    </row>
    <row r="33" customFormat="false" ht="15.75" hidden="false" customHeight="true" outlineLevel="0" collapsed="false">
      <c r="A33" s="1" t="str">
        <f aca="false">'Yillik hajm'!B12</f>
        <v>Sirdaryo viloyati</v>
      </c>
      <c r="B33" s="12" t="n">
        <f aca="false">'Yillik hajm'!T12</f>
        <v>6843396.1</v>
      </c>
      <c r="C33" s="6" t="n">
        <f aca="false">B33/'Yillik hajm'!$T$2*100</f>
        <v>1.49869633995715</v>
      </c>
      <c r="D33" s="6" t="n">
        <f aca="false">INDEX('Yillik indeks'!$T$3:$T$16,MATCH(A33,'Yillik indeks'!$B$3:$B$16,0))-100</f>
        <v>12</v>
      </c>
      <c r="F33" s="1" t="n">
        <v>11</v>
      </c>
      <c r="G33" s="1" t="str">
        <f aca="false">'Yillik indeks'!B4</f>
        <v>Andijon viloyati</v>
      </c>
      <c r="H33" s="6" t="n">
        <f aca="false">'Yillik indeks'!T4-100</f>
        <v>8.59999999999999</v>
      </c>
    </row>
    <row r="34" customFormat="false" ht="15.75" hidden="false" customHeight="true" outlineLevel="0" collapsed="false">
      <c r="A34" s="1" t="str">
        <f aca="false">'Yillik hajm'!B3</f>
        <v>Qoraqalpog‘iston Respublikasi</v>
      </c>
      <c r="B34" s="12" t="n">
        <f aca="false">'Yillik hajm'!T3</f>
        <v>6757340.3</v>
      </c>
      <c r="C34" s="6" t="n">
        <f aca="false">B34/'Yillik hajm'!$T$2*100</f>
        <v>1.47985021288699</v>
      </c>
      <c r="D34" s="6" t="n">
        <f aca="false">INDEX('Yillik indeks'!$T$3:$T$16,MATCH(A34,'Yillik indeks'!$B$3:$B$16,0))-100</f>
        <v>11.8</v>
      </c>
      <c r="F34" s="1" t="n">
        <v>12</v>
      </c>
      <c r="G34" s="1" t="str">
        <f aca="false">'Yillik indeks'!B8</f>
        <v>Navoiy viloyati</v>
      </c>
      <c r="H34" s="6" t="n">
        <f aca="false">'Yillik indeks'!T8-100</f>
        <v>6.59999999999999</v>
      </c>
    </row>
    <row r="35" customFormat="false" ht="15.75" hidden="false" customHeight="true" outlineLevel="0" collapsed="false">
      <c r="A35" s="1" t="str">
        <f aca="false">'Yillik hajm'!B6</f>
        <v>Jizzax viloyati</v>
      </c>
      <c r="B35" s="12" t="n">
        <f aca="false">'Yillik hajm'!T6</f>
        <v>5664338.5</v>
      </c>
      <c r="C35" s="6" t="n">
        <f aca="false">B35/'Yillik hajm'!$T$2*100</f>
        <v>1.24048400153666</v>
      </c>
      <c r="D35" s="6" t="n">
        <f aca="false">INDEX('Yillik indeks'!$T$3:$T$16,MATCH(A35,'Yillik indeks'!$B$3:$B$16,0))-100</f>
        <v>50.5</v>
      </c>
      <c r="F35" s="1" t="n">
        <v>13</v>
      </c>
      <c r="G35" s="1" t="str">
        <f aca="false">'Yillik indeks'!B5</f>
        <v>Buxoro viloyati</v>
      </c>
      <c r="H35" s="6" t="n">
        <f aca="false">'Yillik indeks'!T5-100</f>
        <v>5.3</v>
      </c>
    </row>
    <row r="36" customFormat="false" ht="15.75" hidden="false" customHeight="true" outlineLevel="0" collapsed="false">
      <c r="A36" s="1" t="str">
        <f aca="false">'Yillik hajm'!B8</f>
        <v>Navoiy viloyati</v>
      </c>
      <c r="B36" s="12" t="n">
        <f aca="false">'Yillik hajm'!T8</f>
        <v>4868652.9</v>
      </c>
      <c r="C36" s="6" t="n">
        <f aca="false">B36/'Yillik hajm'!$T$2*100</f>
        <v>1.0662297162299</v>
      </c>
      <c r="D36" s="6" t="n">
        <f aca="false">INDEX('Yillik indeks'!$T$3:$T$16,MATCH(A36,'Yillik indeks'!$B$3:$B$16,0))-100</f>
        <v>6.59999999999999</v>
      </c>
      <c r="F36" s="1" t="n">
        <v>14</v>
      </c>
      <c r="G36" s="1" t="str">
        <f aca="false">'Yillik indeks'!B11</f>
        <v>Surxondaryo viloyati</v>
      </c>
      <c r="H36" s="6" t="n">
        <f aca="false">'Yillik indeks'!T11-100</f>
        <v>3.2</v>
      </c>
    </row>
    <row r="39" customFormat="false" ht="15.75" hidden="false" customHeight="true" outlineLevel="0" collapsed="false">
      <c r="A39" s="7" t="s">
        <v>175</v>
      </c>
    </row>
    <row r="40" customFormat="false" ht="15.75" hidden="false" customHeight="true" outlineLevel="0" collapsed="false">
      <c r="A40" s="7" t="s">
        <v>176</v>
      </c>
      <c r="B40" s="7" t="s">
        <v>177</v>
      </c>
      <c r="C40" s="7" t="s">
        <v>178</v>
      </c>
    </row>
    <row r="41" customFormat="false" ht="15.75" hidden="false" customHeight="true" outlineLevel="0" collapsed="false">
      <c r="A41" s="1" t="s">
        <v>179</v>
      </c>
      <c r="B41" s="6" t="n">
        <f aca="false">'Oylik indeks(Respublika)'!AD2</f>
        <v>110.6</v>
      </c>
      <c r="C41" s="6" t="n">
        <f aca="false">'Oylik indeks(Respublika)'!AP2</f>
        <v>115.6</v>
      </c>
    </row>
    <row r="42" customFormat="false" ht="15.75" hidden="false" customHeight="true" outlineLevel="0" collapsed="false">
      <c r="A42" s="1" t="s">
        <v>180</v>
      </c>
      <c r="B42" s="6" t="n">
        <f aca="false">'Oylik indeks(Respublika)'!AE2</f>
        <v>112.3</v>
      </c>
      <c r="C42" s="6" t="n">
        <f aca="false">'Oylik indeks(Respublika)'!AQ2</f>
        <v>116.5</v>
      </c>
    </row>
    <row r="43" customFormat="false" ht="15.75" hidden="false" customHeight="true" outlineLevel="0" collapsed="false">
      <c r="A43" s="1" t="s">
        <v>181</v>
      </c>
      <c r="B43" s="6" t="n">
        <f aca="false">'Oylik indeks(Respublika)'!AF2</f>
        <v>110.7</v>
      </c>
      <c r="C43" s="6" t="n">
        <f aca="false">'Oylik indeks(Respublika)'!AR2</f>
        <v>110.9</v>
      </c>
    </row>
    <row r="44" customFormat="false" ht="15.75" hidden="false" customHeight="true" outlineLevel="0" collapsed="false">
      <c r="A44" s="1" t="s">
        <v>182</v>
      </c>
      <c r="B44" s="6" t="n">
        <f aca="false">'Oylik indeks(Respublika)'!AG2</f>
        <v>110.1</v>
      </c>
      <c r="C44" s="6" t="n">
        <f aca="false">'Oylik indeks(Respublika)'!AS2</f>
        <v>112.7</v>
      </c>
    </row>
    <row r="45" customFormat="false" ht="15.75" hidden="false" customHeight="true" outlineLevel="0" collapsed="false">
      <c r="A45" s="1" t="s">
        <v>183</v>
      </c>
      <c r="B45" s="6" t="n">
        <f aca="false">'Oylik indeks(Respublika)'!AH2</f>
        <v>109.8</v>
      </c>
      <c r="C45" s="6" t="n">
        <f aca="false">'Oylik indeks(Respublika)'!AT2</f>
        <v>115.4</v>
      </c>
    </row>
    <row r="47" customFormat="false" ht="15.75" hidden="false" customHeight="true" outlineLevel="0" collapsed="false">
      <c r="A47" s="1" t="str">
        <f aca="false">"2026-yil yanvar–may oylarida ulgurji savdo real hajmi o‘tgan yilning shu davriga nisbatan "&amp;TEXT(C45-100,"0.0")&amp;"% ga o‘sdi (2025-yil yanvar–mayda: "&amp;TEXT(B45-100,"0.0")&amp;"%)."</f>
        <v>2026-yil yanvar–may oylarida ulgurji savdo real hajmi o‘tgan yilning shu davriga nisbatan 15.4% ga o‘sdi (2025-yil yanvar–mayda: 9.8%).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2026-07-14T06:05:02Z</dcterms:created>
  <dc:creator>Dusmurodov25013465</dc:creator>
  <dc:description/>
  <dc:language>en-US</dc:language>
  <cp:lastModifiedBy/>
  <dcterms:modified xsi:type="dcterms:W3CDTF">2026-07-14T15:06:55Z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